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put" sheetId="1" state="visible" r:id="rId2"/>
    <sheet name="LabSys" sheetId="2" state="visible" r:id="rId3"/>
    <sheet name="data" sheetId="3" state="visible" r:id="rId4"/>
    <sheet name="porovnani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<sst xmlns="http://schemas.openxmlformats.org/spreadsheetml/2006/main" count="1361" uniqueCount="336">
  <si>
    <t xml:space="preserve">Kniha analýz</t>
  </si>
  <si>
    <t xml:space="preserve">Popis vzorku</t>
  </si>
  <si>
    <t xml:space="preserve">ID měření</t>
  </si>
  <si>
    <t xml:space="preserve">Objem [l]</t>
  </si>
  <si>
    <t xml:space="preserve">Hmotnost [kg]</t>
  </si>
  <si>
    <t xml:space="preserve">Referenční datum</t>
  </si>
  <si>
    <t xml:space="preserve">LabSyS laboratoř </t>
  </si>
  <si>
    <t xml:space="preserve">Ra</t>
  </si>
  <si>
    <t xml:space="preserve">Ra_err</t>
  </si>
  <si>
    <t xml:space="preserve">K</t>
  </si>
  <si>
    <t xml:space="preserve">K_err</t>
  </si>
  <si>
    <t xml:space="preserve">Th</t>
  </si>
  <si>
    <t xml:space="preserve">Th_err</t>
  </si>
  <si>
    <t xml:space="preserve">Index</t>
  </si>
  <si>
    <t xml:space="preserve">Index_err</t>
  </si>
  <si>
    <t xml:space="preserve">sample_name</t>
  </si>
  <si>
    <t xml:space="preserve">3666-2024</t>
  </si>
  <si>
    <t xml:space="preserve">Struska/škvára</t>
  </si>
  <si>
    <t xml:space="preserve">3666-2024-4</t>
  </si>
  <si>
    <t xml:space="preserve">4794-2024-3</t>
  </si>
  <si>
    <t xml:space="preserve">3667-2024</t>
  </si>
  <si>
    <t xml:space="preserve">Popílek</t>
  </si>
  <si>
    <t xml:space="preserve">3667-2024-4</t>
  </si>
  <si>
    <t xml:space="preserve">4787-2024-3</t>
  </si>
  <si>
    <t xml:space="preserve">3668-2024</t>
  </si>
  <si>
    <t xml:space="preserve">Litý granulát</t>
  </si>
  <si>
    <t xml:space="preserve">3668-2024-4</t>
  </si>
  <si>
    <t xml:space="preserve">4724-2024-3</t>
  </si>
  <si>
    <t xml:space="preserve">3962-2024</t>
  </si>
  <si>
    <t xml:space="preserve">Popílek a směsi s popílkem </t>
  </si>
  <si>
    <t xml:space="preserve">3962-2024-4</t>
  </si>
  <si>
    <t xml:space="preserve">4723-2024-3</t>
  </si>
  <si>
    <t xml:space="preserve">3964-2024</t>
  </si>
  <si>
    <t xml:space="preserve">Popílek a směsi s popílkem</t>
  </si>
  <si>
    <t xml:space="preserve">3964-2024-4</t>
  </si>
  <si>
    <t xml:space="preserve">4720-2024-3</t>
  </si>
  <si>
    <t xml:space="preserve">4249-2024</t>
  </si>
  <si>
    <t xml:space="preserve">Struska (VEP)</t>
  </si>
  <si>
    <t xml:space="preserve">4249-2024-4</t>
  </si>
  <si>
    <t xml:space="preserve">4607-2024-4</t>
  </si>
  <si>
    <t xml:space="preserve">4250-2024</t>
  </si>
  <si>
    <t xml:space="preserve">sádrovec (VEP)</t>
  </si>
  <si>
    <t xml:space="preserve">4250-2024-4</t>
  </si>
  <si>
    <t xml:space="preserve">4457-2024-4</t>
  </si>
  <si>
    <t xml:space="preserve">4251-2024</t>
  </si>
  <si>
    <t xml:space="preserve">Aglomerát (VEP z popílku)</t>
  </si>
  <si>
    <t xml:space="preserve">4251-2024-4</t>
  </si>
  <si>
    <t xml:space="preserve">4301-2025-2</t>
  </si>
  <si>
    <t xml:space="preserve">4457-2024</t>
  </si>
  <si>
    <t xml:space="preserve">Stabilizát</t>
  </si>
  <si>
    <t xml:space="preserve">4271-2025-3</t>
  </si>
  <si>
    <t xml:space="preserve">4605-2024</t>
  </si>
  <si>
    <t xml:space="preserve">4605-2024-4</t>
  </si>
  <si>
    <t xml:space="preserve">4607-2024</t>
  </si>
  <si>
    <t xml:space="preserve">Úletový popílek</t>
  </si>
  <si>
    <t xml:space="preserve">4720-2024</t>
  </si>
  <si>
    <t xml:space="preserve">taška</t>
  </si>
  <si>
    <t xml:space="preserve">4183-2025-3</t>
  </si>
  <si>
    <t xml:space="preserve">4723-2024</t>
  </si>
  <si>
    <t xml:space="preserve">4180-2025-3</t>
  </si>
  <si>
    <t xml:space="preserve">4724-2024</t>
  </si>
  <si>
    <t xml:space="preserve">4017-2025-3</t>
  </si>
  <si>
    <t xml:space="preserve">4787-2024</t>
  </si>
  <si>
    <t xml:space="preserve">cihla</t>
  </si>
  <si>
    <t xml:space="preserve">4788-2024</t>
  </si>
  <si>
    <t xml:space="preserve">NE</t>
  </si>
  <si>
    <t xml:space="preserve">4794-2024</t>
  </si>
  <si>
    <t xml:space="preserve">nepálená cihla</t>
  </si>
  <si>
    <t xml:space="preserve">3954-2025-3</t>
  </si>
  <si>
    <t xml:space="preserve">4797-2024</t>
  </si>
  <si>
    <t xml:space="preserve">lisované vláknocementové desky</t>
  </si>
  <si>
    <t xml:space="preserve">4797-2024-3</t>
  </si>
  <si>
    <t xml:space="preserve">3876-2025-3</t>
  </si>
  <si>
    <t xml:space="preserve">59-2025</t>
  </si>
  <si>
    <t xml:space="preserve">C 20/25 X0, XC1-2, S3</t>
  </si>
  <si>
    <t xml:space="preserve">59-2025-3</t>
  </si>
  <si>
    <t xml:space="preserve">3874-2025-3</t>
  </si>
  <si>
    <t xml:space="preserve">60-2025</t>
  </si>
  <si>
    <t xml:space="preserve">C 16/20, X0, XC1-2, S3 Dmax22</t>
  </si>
  <si>
    <t xml:space="preserve">60-2025-3</t>
  </si>
  <si>
    <t xml:space="preserve">3838-2025-2</t>
  </si>
  <si>
    <t xml:space="preserve">145-2025</t>
  </si>
  <si>
    <t xml:space="preserve">Balkánská rula, vzorek č. 1</t>
  </si>
  <si>
    <t xml:space="preserve">145-2025-2</t>
  </si>
  <si>
    <t xml:space="preserve">146-2025</t>
  </si>
  <si>
    <t xml:space="preserve">balkánská rula</t>
  </si>
  <si>
    <t xml:space="preserve">146-2025-3</t>
  </si>
  <si>
    <t xml:space="preserve">230-2025</t>
  </si>
  <si>
    <t xml:space="preserve">škvára</t>
  </si>
  <si>
    <t xml:space="preserve">230-2025-3</t>
  </si>
  <si>
    <t xml:space="preserve">235-2025</t>
  </si>
  <si>
    <t xml:space="preserve">surový jíl</t>
  </si>
  <si>
    <t xml:space="preserve">235-2025-3</t>
  </si>
  <si>
    <t xml:space="preserve">3608-2025-3</t>
  </si>
  <si>
    <t xml:space="preserve">241-2025</t>
  </si>
  <si>
    <t xml:space="preserve">usušená surovina živce</t>
  </si>
  <si>
    <t xml:space="preserve">241-2025-3</t>
  </si>
  <si>
    <t xml:space="preserve">3607-2025-3</t>
  </si>
  <si>
    <t xml:space="preserve">563-2025</t>
  </si>
  <si>
    <t xml:space="preserve">beton</t>
  </si>
  <si>
    <t xml:space="preserve">563-2025-4</t>
  </si>
  <si>
    <t xml:space="preserve">3606-2025-3</t>
  </si>
  <si>
    <t xml:space="preserve">628-2025</t>
  </si>
  <si>
    <t xml:space="preserve">628-2025-3</t>
  </si>
  <si>
    <t xml:space="preserve">3549-2025-3</t>
  </si>
  <si>
    <t xml:space="preserve">629-2025</t>
  </si>
  <si>
    <t xml:space="preserve">dlažba</t>
  </si>
  <si>
    <t xml:space="preserve">629-2025-3</t>
  </si>
  <si>
    <t xml:space="preserve">3514-2025-3</t>
  </si>
  <si>
    <t xml:space="preserve">630-2025</t>
  </si>
  <si>
    <t xml:space="preserve">630-2025-3</t>
  </si>
  <si>
    <t xml:space="preserve">3513-2025-3</t>
  </si>
  <si>
    <t xml:space="preserve">631-2025</t>
  </si>
  <si>
    <t xml:space="preserve">631-2025-3</t>
  </si>
  <si>
    <t xml:space="preserve">3512-2025-3</t>
  </si>
  <si>
    <t xml:space="preserve">632-2025</t>
  </si>
  <si>
    <t xml:space="preserve">632-2025-3</t>
  </si>
  <si>
    <t xml:space="preserve">3511-2025-3</t>
  </si>
  <si>
    <t xml:space="preserve">633-2025</t>
  </si>
  <si>
    <t xml:space="preserve">633-2025-3</t>
  </si>
  <si>
    <t xml:space="preserve">3491-2025-3</t>
  </si>
  <si>
    <t xml:space="preserve">634-2025</t>
  </si>
  <si>
    <t xml:space="preserve">634-2025-3</t>
  </si>
  <si>
    <t xml:space="preserve">3490-2025-3</t>
  </si>
  <si>
    <t xml:space="preserve">635-2025</t>
  </si>
  <si>
    <t xml:space="preserve">635-2025-3</t>
  </si>
  <si>
    <t xml:space="preserve">3345-2025-3</t>
  </si>
  <si>
    <t xml:space="preserve">638-2025</t>
  </si>
  <si>
    <t xml:space="preserve">638-2025-3</t>
  </si>
  <si>
    <t xml:space="preserve">3188-2025-3</t>
  </si>
  <si>
    <t xml:space="preserve">723-2025</t>
  </si>
  <si>
    <t xml:space="preserve">C25/30; DN 16</t>
  </si>
  <si>
    <t xml:space="preserve">723-2025-3</t>
  </si>
  <si>
    <t xml:space="preserve">3187-2025-3</t>
  </si>
  <si>
    <t xml:space="preserve">724-2025</t>
  </si>
  <si>
    <t xml:space="preserve">DDK 0/4 LIBINA</t>
  </si>
  <si>
    <t xml:space="preserve">724-2025-3</t>
  </si>
  <si>
    <t xml:space="preserve">3009-2025-3</t>
  </si>
  <si>
    <t xml:space="preserve">725-2025</t>
  </si>
  <si>
    <t xml:space="preserve">Asfaltový recyklát 0/32</t>
  </si>
  <si>
    <t xml:space="preserve">725-2025-3</t>
  </si>
  <si>
    <t xml:space="preserve">2937-2025-3</t>
  </si>
  <si>
    <t xml:space="preserve">744-2025</t>
  </si>
  <si>
    <t xml:space="preserve">744-2025-3</t>
  </si>
  <si>
    <t xml:space="preserve">2901-2025-3</t>
  </si>
  <si>
    <t xml:space="preserve">882-2025</t>
  </si>
  <si>
    <t xml:space="preserve">Umělé hutné kamenivo </t>
  </si>
  <si>
    <t xml:space="preserve">882-2025-3</t>
  </si>
  <si>
    <t xml:space="preserve">2767-2025-3</t>
  </si>
  <si>
    <t xml:space="preserve">883-2025</t>
  </si>
  <si>
    <t xml:space="preserve">883-2025-3</t>
  </si>
  <si>
    <t xml:space="preserve">2765-2025-3</t>
  </si>
  <si>
    <t xml:space="preserve">993-2025</t>
  </si>
  <si>
    <t xml:space="preserve">993-2025-3</t>
  </si>
  <si>
    <t xml:space="preserve">2764-2025-3</t>
  </si>
  <si>
    <t xml:space="preserve">1753-2025</t>
  </si>
  <si>
    <t xml:space="preserve">I. štěrk hlinitý 0/32</t>
  </si>
  <si>
    <t xml:space="preserve">1753-2025-2</t>
  </si>
  <si>
    <t xml:space="preserve">2763-2025-3</t>
  </si>
  <si>
    <t xml:space="preserve">2212-2025</t>
  </si>
  <si>
    <t xml:space="preserve">C 30/37 XF4</t>
  </si>
  <si>
    <t xml:space="preserve">2212-2025-2</t>
  </si>
  <si>
    <t xml:space="preserve">2605-2025-3</t>
  </si>
  <si>
    <t xml:space="preserve">2421-2025</t>
  </si>
  <si>
    <t xml:space="preserve">Sloupy C 45/55 XC3, XF1, XD2</t>
  </si>
  <si>
    <t xml:space="preserve">2421-2025-3</t>
  </si>
  <si>
    <t xml:space="preserve">2604-2025-3</t>
  </si>
  <si>
    <t xml:space="preserve">2422-2025</t>
  </si>
  <si>
    <t xml:space="preserve">GOBA Hala C 40/50 XC4, XD3, XF4, XA3</t>
  </si>
  <si>
    <t xml:space="preserve">2422-2025-3</t>
  </si>
  <si>
    <t xml:space="preserve">2603-2025-3</t>
  </si>
  <si>
    <t xml:space="preserve">2423-2025</t>
  </si>
  <si>
    <t xml:space="preserve">Spiroll C 50/60 XC3, XD1, XA1</t>
  </si>
  <si>
    <t xml:space="preserve">2423-2025-3</t>
  </si>
  <si>
    <t xml:space="preserve">2552-2025-3</t>
  </si>
  <si>
    <t xml:space="preserve">2424-2025</t>
  </si>
  <si>
    <t xml:space="preserve">presto</t>
  </si>
  <si>
    <t xml:space="preserve">2424-2025-3</t>
  </si>
  <si>
    <t xml:space="preserve">2550-2025-3</t>
  </si>
  <si>
    <t xml:space="preserve">2546-2025</t>
  </si>
  <si>
    <t xml:space="preserve">beton C25/30 X0</t>
  </si>
  <si>
    <t xml:space="preserve">2546-2025-3</t>
  </si>
  <si>
    <t xml:space="preserve">2549-2025-3</t>
  </si>
  <si>
    <t xml:space="preserve">2547-2025</t>
  </si>
  <si>
    <t xml:space="preserve">2547-2025-3</t>
  </si>
  <si>
    <t xml:space="preserve">2548-2025-3</t>
  </si>
  <si>
    <t xml:space="preserve">2548-2025</t>
  </si>
  <si>
    <t xml:space="preserve">2549-2025</t>
  </si>
  <si>
    <t xml:space="preserve">2550-2025</t>
  </si>
  <si>
    <t xml:space="preserve">2552-2025</t>
  </si>
  <si>
    <t xml:space="preserve">beton C20/25 XC2</t>
  </si>
  <si>
    <t xml:space="preserve">2601-2025</t>
  </si>
  <si>
    <t xml:space="preserve">Amfibolit</t>
  </si>
  <si>
    <t xml:space="preserve">2601-2025-3</t>
  </si>
  <si>
    <t xml:space="preserve">HK</t>
  </si>
  <si>
    <t xml:space="preserve">2603-2025</t>
  </si>
  <si>
    <t xml:space="preserve">granodiorit</t>
  </si>
  <si>
    <t xml:space="preserve">2604-2025</t>
  </si>
  <si>
    <t xml:space="preserve">Rohovec až rula</t>
  </si>
  <si>
    <t xml:space="preserve">2605-2025</t>
  </si>
  <si>
    <t xml:space="preserve">Štěrkopísek</t>
  </si>
  <si>
    <t xml:space="preserve">2763-2025</t>
  </si>
  <si>
    <t xml:space="preserve">granodiorit, diorit</t>
  </si>
  <si>
    <t xml:space="preserve">2764-2025</t>
  </si>
  <si>
    <t xml:space="preserve">Droba</t>
  </si>
  <si>
    <t xml:space="preserve">2765-2025</t>
  </si>
  <si>
    <t xml:space="preserve">2766-2025</t>
  </si>
  <si>
    <t xml:space="preserve">2766-2025-3</t>
  </si>
  <si>
    <t xml:space="preserve">2767-2025</t>
  </si>
  <si>
    <t xml:space="preserve">2768-2025</t>
  </si>
  <si>
    <t xml:space="preserve">Ortorula</t>
  </si>
  <si>
    <t xml:space="preserve">2768-2025-3</t>
  </si>
  <si>
    <t xml:space="preserve">2770-2025</t>
  </si>
  <si>
    <t xml:space="preserve">Lom Budislav</t>
  </si>
  <si>
    <t xml:space="preserve">2771-2025</t>
  </si>
  <si>
    <t xml:space="preserve">Lom Humperky - Skuteč</t>
  </si>
  <si>
    <t xml:space="preserve">2772-2025</t>
  </si>
  <si>
    <t xml:space="preserve">Lom  Litická - Skuteč</t>
  </si>
  <si>
    <t xml:space="preserve">2772-2025-3</t>
  </si>
  <si>
    <t xml:space="preserve">2773-2025</t>
  </si>
  <si>
    <t xml:space="preserve">Lom Chvaletice</t>
  </si>
  <si>
    <t xml:space="preserve">2773-2025-3</t>
  </si>
  <si>
    <t xml:space="preserve">2901-2025</t>
  </si>
  <si>
    <t xml:space="preserve">pórobeton</t>
  </si>
  <si>
    <t xml:space="preserve">2937-2025</t>
  </si>
  <si>
    <t xml:space="preserve">znělec</t>
  </si>
  <si>
    <t xml:space="preserve">3009-2025</t>
  </si>
  <si>
    <t xml:space="preserve">3093-2025</t>
  </si>
  <si>
    <t xml:space="preserve">3093-2025-3</t>
  </si>
  <si>
    <t xml:space="preserve">3125-2025</t>
  </si>
  <si>
    <t xml:space="preserve">3125-2025-3</t>
  </si>
  <si>
    <t xml:space="preserve">3126-2025</t>
  </si>
  <si>
    <t xml:space="preserve">3126-2025-3</t>
  </si>
  <si>
    <t xml:space="preserve">3127-2025</t>
  </si>
  <si>
    <t xml:space="preserve">Granit</t>
  </si>
  <si>
    <t xml:space="preserve">3127-2025-3</t>
  </si>
  <si>
    <t xml:space="preserve">3128-2025</t>
  </si>
  <si>
    <t xml:space="preserve">3128-2025-3</t>
  </si>
  <si>
    <t xml:space="preserve">3186-2025</t>
  </si>
  <si>
    <t xml:space="preserve">Rula</t>
  </si>
  <si>
    <t xml:space="preserve">3186-2025-3</t>
  </si>
  <si>
    <t xml:space="preserve">3187-2025</t>
  </si>
  <si>
    <t xml:space="preserve">3188-2025</t>
  </si>
  <si>
    <t xml:space="preserve">3189-2025</t>
  </si>
  <si>
    <t xml:space="preserve">3190-2025</t>
  </si>
  <si>
    <t xml:space="preserve">3190-2025-3</t>
  </si>
  <si>
    <t xml:space="preserve">3191-2025</t>
  </si>
  <si>
    <t xml:space="preserve">3191-2025-3</t>
  </si>
  <si>
    <t xml:space="preserve">3344-2025</t>
  </si>
  <si>
    <t xml:space="preserve">pískovec</t>
  </si>
  <si>
    <t xml:space="preserve">3344-2025-3</t>
  </si>
  <si>
    <t xml:space="preserve">3345-2025</t>
  </si>
  <si>
    <t xml:space="preserve">3472-2025</t>
  </si>
  <si>
    <t xml:space="preserve">3472-2025-3</t>
  </si>
  <si>
    <t xml:space="preserve">3490-2025</t>
  </si>
  <si>
    <t xml:space="preserve">3491-2025</t>
  </si>
  <si>
    <t xml:space="preserve">3511-2025</t>
  </si>
  <si>
    <t xml:space="preserve">3512-2025</t>
  </si>
  <si>
    <t xml:space="preserve">3513-2025</t>
  </si>
  <si>
    <t xml:space="preserve">3514-2025</t>
  </si>
  <si>
    <t xml:space="preserve">3549-2025</t>
  </si>
  <si>
    <t xml:space="preserve">granit</t>
  </si>
  <si>
    <t xml:space="preserve">3550-2025</t>
  </si>
  <si>
    <t xml:space="preserve">3550-2025-3</t>
  </si>
  <si>
    <t xml:space="preserve">3606-2025</t>
  </si>
  <si>
    <t xml:space="preserve">spilit</t>
  </si>
  <si>
    <t xml:space="preserve">3607-2025</t>
  </si>
  <si>
    <t xml:space="preserve">3608-2025</t>
  </si>
  <si>
    <t xml:space="preserve">gabro</t>
  </si>
  <si>
    <t xml:space="preserve">3696-2025</t>
  </si>
  <si>
    <t xml:space="preserve">Omítka</t>
  </si>
  <si>
    <t xml:space="preserve">3796-2025</t>
  </si>
  <si>
    <t xml:space="preserve">chemosádrovec</t>
  </si>
  <si>
    <t xml:space="preserve">3796-2025-3</t>
  </si>
  <si>
    <t xml:space="preserve">3827-2025</t>
  </si>
  <si>
    <t xml:space="preserve">3827-2025-3</t>
  </si>
  <si>
    <t xml:space="preserve">3838-2025</t>
  </si>
  <si>
    <t xml:space="preserve">3874-2025</t>
  </si>
  <si>
    <t xml:space="preserve">3875-2025</t>
  </si>
  <si>
    <t xml:space="preserve">3875-2025-3</t>
  </si>
  <si>
    <t xml:space="preserve">3876-2025</t>
  </si>
  <si>
    <t xml:space="preserve">3877-2025</t>
  </si>
  <si>
    <t xml:space="preserve">Kaly</t>
  </si>
  <si>
    <t xml:space="preserve">3954-2025</t>
  </si>
  <si>
    <t xml:space="preserve">4017-2025</t>
  </si>
  <si>
    <t xml:space="preserve">4095-2025</t>
  </si>
  <si>
    <t xml:space="preserve">4096-2025</t>
  </si>
  <si>
    <t xml:space="preserve">4126-2025</t>
  </si>
  <si>
    <t xml:space="preserve">4126-2025-3</t>
  </si>
  <si>
    <t xml:space="preserve">4127-2025</t>
  </si>
  <si>
    <t xml:space="preserve">4127-2025-3</t>
  </si>
  <si>
    <t xml:space="preserve">4140-2025</t>
  </si>
  <si>
    <t xml:space="preserve">Odpadní kal z pískových filtrů </t>
  </si>
  <si>
    <t xml:space="preserve">4162-2025</t>
  </si>
  <si>
    <t xml:space="preserve">Recyklované kamenivo 0-4</t>
  </si>
  <si>
    <t xml:space="preserve">4180-2025</t>
  </si>
  <si>
    <t xml:space="preserve">popílek</t>
  </si>
  <si>
    <t xml:space="preserve">4183-2025</t>
  </si>
  <si>
    <t xml:space="preserve">4271-2025</t>
  </si>
  <si>
    <t xml:space="preserve">struska</t>
  </si>
  <si>
    <t xml:space="preserve">4272-2025</t>
  </si>
  <si>
    <t xml:space="preserve">Aglomerát</t>
  </si>
  <si>
    <t xml:space="preserve">4272-2025-3</t>
  </si>
  <si>
    <t xml:space="preserve">4273-2025</t>
  </si>
  <si>
    <t xml:space="preserve">sádrovec</t>
  </si>
  <si>
    <t xml:space="preserve">4277-2025</t>
  </si>
  <si>
    <t xml:space="preserve">Malta</t>
  </si>
  <si>
    <t xml:space="preserve">4301-2025</t>
  </si>
  <si>
    <t xml:space="preserve">k888-2025</t>
  </si>
  <si>
    <t xml:space="preserve">pozadí</t>
  </si>
  <si>
    <t xml:space="preserve">Č.vzorku</t>
  </si>
  <si>
    <t xml:space="preserve">K-40</t>
  </si>
  <si>
    <t xml:space="preserve">Nejistota</t>
  </si>
  <si>
    <t xml:space="preserve">Ra-226</t>
  </si>
  <si>
    <t xml:space="preserve">Th-228</t>
  </si>
  <si>
    <t xml:space="preserve">&lt;3,56</t>
  </si>
  <si>
    <t xml:space="preserve">&lt;7,37</t>
  </si>
  <si>
    <t xml:space="preserve">&lt;2,86</t>
  </si>
  <si>
    <t xml:space="preserve">&lt;8,07</t>
  </si>
  <si>
    <t xml:space="preserve">&lt;5,82</t>
  </si>
  <si>
    <t xml:space="preserve">&lt;6,05</t>
  </si>
  <si>
    <t xml:space="preserve">&lt;5,26</t>
  </si>
  <si>
    <t xml:space="preserve">Labsys</t>
  </si>
  <si>
    <t xml:space="preserve">ASS</t>
  </si>
  <si>
    <t xml:space="preserve">Ref. Dat</t>
  </si>
  <si>
    <t xml:space="preserve">A</t>
  </si>
  <si>
    <t xml:space="preserve">U</t>
  </si>
  <si>
    <t xml:space="preserve">Metoda</t>
  </si>
  <si>
    <t xml:space="preserve">A_Ra</t>
  </si>
  <si>
    <t xml:space="preserve">U_Ra</t>
  </si>
  <si>
    <t xml:space="preserve">A_K</t>
  </si>
  <si>
    <t xml:space="preserve">U_K</t>
  </si>
  <si>
    <t xml:space="preserve">A_Th</t>
  </si>
  <si>
    <t xml:space="preserve">U_Th</t>
  </si>
  <si>
    <t xml:space="preserve">HPGe</t>
  </si>
  <si>
    <t xml:space="preserve">NaI(Tl)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</si>
</sst>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d/m/yyyy"/>
    <numFmt numFmtId="167" formatCode="0.000"/>
    <numFmt numFmtId="168" formatCode="@"/>
    <numFmt numFmtId="169" formatCode="#0"/>
    <numFmt numFmtId="170" formatCode="0.00"/>
    <numFmt numFmtId="171" formatCode="General"/>
  </numFmts>
  <fonts count="6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  <fill>
      <patternFill patternType="solid">
        <fgColor rgb="FFBFBFBF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F4B183"/>
        <bgColor rgb="FFFF99CC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E7E6E6"/>
        <bgColor rgb="FFE2F0D9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8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6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7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ální 2" xfId="20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1" sqref="J8:K9 I2"/>
    </sheetView>
  </sheetViews>
  <sheetFormatPr defaultColWidth="8.453125" defaultRowHeight="15" zeroHeight="false" outlineLevelRow="0" outlineLevelCol="0"/>
  <cols>
    <col collapsed="false" customWidth="true" hidden="false" outlineLevel="0" max="2" min="2" style="1" width="19.86"/>
    <col collapsed="false" customWidth="true" hidden="false" outlineLevel="0" max="3" min="3" style="2" width="34.42"/>
    <col collapsed="false" customWidth="true" hidden="false" outlineLevel="0" max="5" min="4" style="2" width="13.15"/>
    <col collapsed="false" customWidth="true" hidden="false" outlineLevel="0" max="6" min="6" style="2" width="14"/>
    <col collapsed="false" customWidth="true" hidden="false" outlineLevel="0" max="7" min="7" style="3" width="11.85"/>
    <col collapsed="false" customWidth="true" hidden="false" outlineLevel="0" max="9" min="9" style="1" width="18.57"/>
  </cols>
  <sheetData>
    <row r="1" customFormat="false" ht="30" hidden="false" customHeight="false" outlineLevel="0" collapsed="false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9" t="s">
        <v>5</v>
      </c>
      <c r="H1" s="10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/>
      <c r="R1" s="11" t="s">
        <v>15</v>
      </c>
      <c r="S1" s="11" t="s">
        <v>7</v>
      </c>
      <c r="T1" s="11" t="s">
        <v>8</v>
      </c>
      <c r="U1" s="11" t="s">
        <v>9</v>
      </c>
      <c r="V1" s="11" t="s">
        <v>10</v>
      </c>
      <c r="W1" s="11" t="s">
        <v>11</v>
      </c>
      <c r="X1" s="11" t="s">
        <v>12</v>
      </c>
      <c r="Y1" s="11" t="s">
        <v>13</v>
      </c>
      <c r="Z1" s="11" t="s">
        <v>14</v>
      </c>
    </row>
    <row r="2" customFormat="false" ht="15" hidden="false" customHeight="false" outlineLevel="0" collapsed="false">
      <c r="B2" s="12" t="s">
        <v>16</v>
      </c>
      <c r="C2" s="5" t="s">
        <v>17</v>
      </c>
      <c r="D2" s="13" t="s">
        <v>18</v>
      </c>
      <c r="E2" s="14" t="n">
        <v>1</v>
      </c>
      <c r="F2" s="15" t="n">
        <v>1.011</v>
      </c>
      <c r="G2" s="16" t="n">
        <v>45574</v>
      </c>
      <c r="H2" s="12"/>
      <c r="I2" s="12" t="n">
        <f aca="false">IF($D2="","",_xlfn.xlookup($D2,$R:$R,$S:$S,""))</f>
        <v>65.2661786291048</v>
      </c>
      <c r="J2" s="12" t="n">
        <f aca="false">IF($D2="","",_xlfn.xlookup($D2,$R:$R,$T:$T,""))</f>
        <v>0.135564790292035</v>
      </c>
      <c r="K2" s="12" t="n">
        <f aca="false">IF($D2="","",_xlfn.xlookup($D2,$R:$R,$U:$U,""))</f>
        <v>160.727117681155</v>
      </c>
      <c r="L2" s="12" t="n">
        <f aca="false">IF($D2="","",_xlfn.xlookup($D2,$R:$R,$V:$V,""))</f>
        <v>1.21517175131863</v>
      </c>
      <c r="M2" s="12" t="n">
        <f aca="false">IF($D2="","",_xlfn.xlookup($D2,$R:$R,$W:$W,""))</f>
        <v>63.9306636491072</v>
      </c>
      <c r="N2" s="12" t="n">
        <f aca="false">IF($D2="","",_xlfn.xlookup($D2,$R:$R,$X:$X,""))</f>
        <v>0.0819804458709579</v>
      </c>
      <c r="O2" s="12" t="n">
        <f aca="false">IF($D2="","",_xlfn.xlookup($D2,$R:$R,$Y:$Y,""))</f>
        <v>0.590782952902937</v>
      </c>
      <c r="P2" s="12" t="n">
        <f aca="false">IF($D2="","",_xlfn.xlookup($D2,$R:$R,$Z:$Z,""))</f>
        <v>0.000732317642114203</v>
      </c>
      <c r="Q2" s="12"/>
      <c r="R2" s="11" t="s">
        <v>19</v>
      </c>
      <c r="S2" s="11" t="n">
        <v>42.0235254957659</v>
      </c>
      <c r="T2" s="11" t="n">
        <v>0.168632239796774</v>
      </c>
      <c r="U2" s="11" t="n">
        <v>851.593640166373</v>
      </c>
      <c r="V2" s="11" t="n">
        <v>2.00356088590994</v>
      </c>
      <c r="W2" s="11" t="n">
        <v>53.2158026614054</v>
      </c>
      <c r="X2" s="11" t="n">
        <v>0.0881029387924555</v>
      </c>
      <c r="Y2" s="11" t="n">
        <v>0.690021978348371</v>
      </c>
      <c r="Z2" s="11" t="n">
        <v>0.000977776287399459</v>
      </c>
    </row>
    <row r="3" customFormat="false" ht="15" hidden="false" customHeight="false" outlineLevel="0" collapsed="false">
      <c r="B3" s="12" t="s">
        <v>20</v>
      </c>
      <c r="C3" s="5" t="s">
        <v>21</v>
      </c>
      <c r="D3" s="13" t="s">
        <v>22</v>
      </c>
      <c r="E3" s="14" t="n">
        <v>1</v>
      </c>
      <c r="F3" s="15" t="n">
        <v>0.926</v>
      </c>
      <c r="G3" s="16" t="n">
        <v>45572</v>
      </c>
      <c r="H3" s="12"/>
      <c r="I3" s="12" t="n">
        <f aca="false">IF($D3="","",_xlfn.xlookup($D3,$R:$R,$S:$S,""))</f>
        <v>69.4175665963792</v>
      </c>
      <c r="J3" s="12" t="n">
        <f aca="false">IF($D3="","",_xlfn.xlookup($D3,$R:$R,$T:$T,""))</f>
        <v>0.175334431678034</v>
      </c>
      <c r="K3" s="12" t="n">
        <f aca="false">IF($D3="","",_xlfn.xlookup($D3,$R:$R,$U:$U,""))</f>
        <v>169.015498808419</v>
      </c>
      <c r="L3" s="12" t="n">
        <f aca="false">IF($D3="","",_xlfn.xlookup($D3,$R:$R,$V:$V,""))</f>
        <v>1.83583423104771</v>
      </c>
      <c r="M3" s="12" t="n">
        <f aca="false">IF($D3="","",_xlfn.xlookup($D3,$R:$R,$W:$W,""))</f>
        <v>66.0684377661489</v>
      </c>
      <c r="N3" s="12" t="n">
        <f aca="false">IF($D3="","",_xlfn.xlookup($D3,$R:$R,$X:$X,""))</f>
        <v>0.106030443852948</v>
      </c>
      <c r="O3" s="12" t="n">
        <f aca="false">IF($D3="","",_xlfn.xlookup($D3,$R:$R,$Y:$Y,""))</f>
        <v>0.618072577088148</v>
      </c>
      <c r="P3" s="12" t="n">
        <f aca="false">IF($D3="","",_xlfn.xlookup($D3,$R:$R,$Z:$Z,""))</f>
        <v>0.000998557626300969</v>
      </c>
      <c r="Q3" s="12"/>
      <c r="R3" s="11" t="s">
        <v>23</v>
      </c>
      <c r="S3" s="11" t="n">
        <v>52.8769856433074</v>
      </c>
      <c r="T3" s="11" t="n">
        <v>0.24570299133828</v>
      </c>
      <c r="U3" s="11" t="n">
        <v>903.625751896226</v>
      </c>
      <c r="V3" s="11" t="n">
        <v>2.57864306183142</v>
      </c>
      <c r="W3" s="11" t="n">
        <v>68.0619992523918</v>
      </c>
      <c r="X3" s="11" t="n">
        <v>0.128369021446241</v>
      </c>
      <c r="Y3" s="11" t="n">
        <v>0.817775199038392</v>
      </c>
      <c r="Z3" s="11" t="n">
        <v>0.00134965354857702</v>
      </c>
    </row>
    <row r="4" customFormat="false" ht="15" hidden="false" customHeight="false" outlineLevel="0" collapsed="false">
      <c r="B4" s="12" t="s">
        <v>24</v>
      </c>
      <c r="C4" s="5" t="s">
        <v>25</v>
      </c>
      <c r="D4" s="13" t="s">
        <v>26</v>
      </c>
      <c r="E4" s="14" t="n">
        <v>1</v>
      </c>
      <c r="F4" s="15" t="n">
        <v>0.948</v>
      </c>
      <c r="G4" s="16" t="n">
        <v>45574</v>
      </c>
      <c r="H4" s="12"/>
      <c r="I4" s="12" t="e">
        <f aca="false">IF($D4="","",_xlfn.xlookup($D4,$R:$R,$S:$S,""))</f>
        <v>#NAME?</v>
      </c>
      <c r="J4" s="12" t="e">
        <f aca="false">IF($D4="","",_xlfn.xlookup($D4,$R:$R,$T:$T,""))</f>
        <v>#NAME?</v>
      </c>
      <c r="K4" s="12" t="e">
        <f aca="false">IF($D4="","",_xlfn.xlookup($D4,$R:$R,$U:$U,""))</f>
        <v>#NAME?</v>
      </c>
      <c r="L4" s="12" t="e">
        <f aca="false">IF($D4="","",_xlfn.xlookup($D4,$R:$R,$V:$V,""))</f>
        <v>#NAME?</v>
      </c>
      <c r="M4" s="12" t="e">
        <f aca="false">IF($D4="","",_xlfn.xlookup($D4,$R:$R,$W:$W,""))</f>
        <v>#NAME?</v>
      </c>
      <c r="N4" s="12" t="e">
        <f aca="false">IF($D4="","",_xlfn.xlookup($D4,$R:$R,$X:$X,""))</f>
        <v>#NAME?</v>
      </c>
      <c r="O4" s="12" t="e">
        <f aca="false">IF($D4="","",_xlfn.xlookup($D4,$R:$R,$Y:$Y,""))</f>
        <v>#NAME?</v>
      </c>
      <c r="P4" s="12" t="e">
        <f aca="false">IF($D4="","",_xlfn.xlookup($D4,$R:$R,$Z:$Z,""))</f>
        <v>#NAME?</v>
      </c>
      <c r="Q4" s="12"/>
      <c r="R4" s="11" t="s">
        <v>27</v>
      </c>
      <c r="S4" s="11" t="n">
        <v>95.5000010890446</v>
      </c>
      <c r="T4" s="11" t="n">
        <v>0.351536876724936</v>
      </c>
      <c r="U4" s="11" t="n">
        <v>793.493650021167</v>
      </c>
      <c r="V4" s="11" t="n">
        <v>2.66271450137604</v>
      </c>
      <c r="W4" s="11" t="n">
        <v>83.6512678782772</v>
      </c>
      <c r="X4" s="11" t="n">
        <v>0.183662578227705</v>
      </c>
      <c r="Y4" s="11" t="n">
        <v>1.00108755969526</v>
      </c>
      <c r="Z4" s="11" t="n">
        <v>0.00173325490783706</v>
      </c>
    </row>
    <row r="5" customFormat="false" ht="15" hidden="false" customHeight="false" outlineLevel="0" collapsed="false">
      <c r="B5" s="12" t="s">
        <v>28</v>
      </c>
      <c r="C5" s="5" t="s">
        <v>29</v>
      </c>
      <c r="D5" s="13" t="s">
        <v>30</v>
      </c>
      <c r="E5" s="14" t="n">
        <v>1</v>
      </c>
      <c r="F5" s="15" t="n">
        <v>0.893</v>
      </c>
      <c r="G5" s="16" t="n">
        <v>45590</v>
      </c>
      <c r="H5" s="12"/>
      <c r="I5" s="12" t="e">
        <f aca="false">IF($D5="","",_xlfn.xlookup($D5,$R:$R,$S:$S,""))</f>
        <v>#NAME?</v>
      </c>
      <c r="J5" s="12" t="e">
        <f aca="false">IF($D5="","",_xlfn.xlookup($D5,$R:$R,$T:$T,""))</f>
        <v>#NAME?</v>
      </c>
      <c r="K5" s="12" t="e">
        <f aca="false">IF($D5="","",_xlfn.xlookup($D5,$R:$R,$U:$U,""))</f>
        <v>#NAME?</v>
      </c>
      <c r="L5" s="12" t="e">
        <f aca="false">IF($D5="","",_xlfn.xlookup($D5,$R:$R,$V:$V,""))</f>
        <v>#NAME?</v>
      </c>
      <c r="M5" s="12" t="e">
        <f aca="false">IF($D5="","",_xlfn.xlookup($D5,$R:$R,$W:$W,""))</f>
        <v>#NAME?</v>
      </c>
      <c r="N5" s="12" t="e">
        <f aca="false">IF($D5="","",_xlfn.xlookup($D5,$R:$R,$X:$X,""))</f>
        <v>#NAME?</v>
      </c>
      <c r="O5" s="12" t="e">
        <f aca="false">IF($D5="","",_xlfn.xlookup($D5,$R:$R,$Y:$Y,""))</f>
        <v>#NAME?</v>
      </c>
      <c r="P5" s="12" t="e">
        <f aca="false">IF($D5="","",_xlfn.xlookup($D5,$R:$R,$Z:$Z,""))</f>
        <v>#NAME?</v>
      </c>
      <c r="Q5" s="12"/>
      <c r="R5" s="11" t="s">
        <v>31</v>
      </c>
      <c r="S5" s="11" t="n">
        <v>78.1918884940948</v>
      </c>
      <c r="T5" s="11" t="n">
        <v>0.259912856187705</v>
      </c>
      <c r="U5" s="11" t="n">
        <v>840.93572894758</v>
      </c>
      <c r="V5" s="11" t="n">
        <v>2.1497121816944</v>
      </c>
      <c r="W5" s="11" t="n">
        <v>69.2568682210984</v>
      </c>
      <c r="X5" s="11" t="n">
        <v>0.135793051718191</v>
      </c>
      <c r="Y5" s="11" t="n">
        <v>0.887235879068335</v>
      </c>
      <c r="Z5" s="11" t="n">
        <v>0.00131342115385955</v>
      </c>
    </row>
    <row r="6" customFormat="false" ht="15" hidden="false" customHeight="false" outlineLevel="0" collapsed="false">
      <c r="B6" s="12" t="s">
        <v>32</v>
      </c>
      <c r="C6" s="5" t="s">
        <v>33</v>
      </c>
      <c r="D6" s="13" t="s">
        <v>34</v>
      </c>
      <c r="E6" s="14" t="n">
        <v>1</v>
      </c>
      <c r="F6" s="15" t="n">
        <v>0.989</v>
      </c>
      <c r="G6" s="16" t="n">
        <v>45594</v>
      </c>
      <c r="H6" s="12"/>
      <c r="I6" s="12" t="e">
        <f aca="false">IF($D6="","",_xlfn.xlookup($D6,$R:$R,$S:$S,""))</f>
        <v>#NAME?</v>
      </c>
      <c r="J6" s="12" t="e">
        <f aca="false">IF($D6="","",_xlfn.xlookup($D6,$R:$R,$T:$T,""))</f>
        <v>#NAME?</v>
      </c>
      <c r="K6" s="12" t="e">
        <f aca="false">IF($D6="","",_xlfn.xlookup($D6,$R:$R,$U:$U,""))</f>
        <v>#NAME?</v>
      </c>
      <c r="L6" s="12" t="e">
        <f aca="false">IF($D6="","",_xlfn.xlookup($D6,$R:$R,$V:$V,""))</f>
        <v>#NAME?</v>
      </c>
      <c r="M6" s="12" t="e">
        <f aca="false">IF($D6="","",_xlfn.xlookup($D6,$R:$R,$W:$W,""))</f>
        <v>#NAME?</v>
      </c>
      <c r="N6" s="12" t="e">
        <f aca="false">IF($D6="","",_xlfn.xlookup($D6,$R:$R,$X:$X,""))</f>
        <v>#NAME?</v>
      </c>
      <c r="O6" s="12" t="e">
        <f aca="false">IF($D6="","",_xlfn.xlookup($D6,$R:$R,$Y:$Y,""))</f>
        <v>#NAME?</v>
      </c>
      <c r="P6" s="12" t="e">
        <f aca="false">IF($D6="","",_xlfn.xlookup($D6,$R:$R,$Z:$Z,""))</f>
        <v>#NAME?</v>
      </c>
      <c r="Q6" s="12"/>
      <c r="R6" s="11" t="s">
        <v>35</v>
      </c>
      <c r="S6" s="11" t="n">
        <v>54.921704644212</v>
      </c>
      <c r="T6" s="11" t="n">
        <v>0.237616286551744</v>
      </c>
      <c r="U6" s="11" t="n">
        <v>833.59319979733</v>
      </c>
      <c r="V6" s="11" t="n">
        <v>2.04548311675743</v>
      </c>
      <c r="W6" s="11" t="n">
        <v>54.1045929222505</v>
      </c>
      <c r="X6" s="11" t="n">
        <v>0.124144073371665</v>
      </c>
      <c r="Y6" s="11" t="n">
        <v>0.731459713357736</v>
      </c>
      <c r="Z6" s="11" t="n">
        <v>0.00121553806599283</v>
      </c>
    </row>
    <row r="7" customFormat="false" ht="15" hidden="false" customHeight="false" outlineLevel="0" collapsed="false">
      <c r="B7" s="12" t="s">
        <v>36</v>
      </c>
      <c r="C7" s="5" t="s">
        <v>37</v>
      </c>
      <c r="D7" s="13" t="s">
        <v>38</v>
      </c>
      <c r="E7" s="14" t="n">
        <v>1</v>
      </c>
      <c r="F7" s="15" t="n">
        <v>0.676</v>
      </c>
      <c r="G7" s="16" t="n">
        <v>45616</v>
      </c>
      <c r="H7" s="12"/>
      <c r="I7" s="12" t="e">
        <f aca="false">IF($D7="","",_xlfn.xlookup($D7,$R:$R,$S:$S,""))</f>
        <v>#NAME?</v>
      </c>
      <c r="J7" s="12" t="e">
        <f aca="false">IF($D7="","",_xlfn.xlookup($D7,$R:$R,$T:$T,""))</f>
        <v>#NAME?</v>
      </c>
      <c r="K7" s="12" t="e">
        <f aca="false">IF($D7="","",_xlfn.xlookup($D7,$R:$R,$U:$U,""))</f>
        <v>#NAME?</v>
      </c>
      <c r="L7" s="12" t="e">
        <f aca="false">IF($D7="","",_xlfn.xlookup($D7,$R:$R,$V:$V,""))</f>
        <v>#NAME?</v>
      </c>
      <c r="M7" s="12" t="e">
        <f aca="false">IF($D7="","",_xlfn.xlookup($D7,$R:$R,$W:$W,""))</f>
        <v>#NAME?</v>
      </c>
      <c r="N7" s="12" t="e">
        <f aca="false">IF($D7="","",_xlfn.xlookup($D7,$R:$R,$X:$X,""))</f>
        <v>#NAME?</v>
      </c>
      <c r="O7" s="12" t="e">
        <f aca="false">IF($D7="","",_xlfn.xlookup($D7,$R:$R,$Y:$Y,""))</f>
        <v>#NAME?</v>
      </c>
      <c r="P7" s="12" t="e">
        <f aca="false">IF($D7="","",_xlfn.xlookup($D7,$R:$R,$Z:$Z,""))</f>
        <v>#NAME?</v>
      </c>
      <c r="Q7" s="12"/>
      <c r="R7" s="11" t="s">
        <v>39</v>
      </c>
      <c r="S7" s="11" t="n">
        <v>56.3266473672566</v>
      </c>
      <c r="T7" s="11" t="n">
        <v>0.173354945531377</v>
      </c>
      <c r="U7" s="11" t="n">
        <v>195.643589071415</v>
      </c>
      <c r="V7" s="11" t="n">
        <v>1.1868141921584</v>
      </c>
      <c r="W7" s="11" t="n">
        <v>45.9034334228971</v>
      </c>
      <c r="X7" s="11" t="n">
        <v>0.0905703451126939</v>
      </c>
      <c r="Y7" s="11" t="n">
        <v>0.482487188029146</v>
      </c>
      <c r="Z7" s="11" t="n">
        <v>0.000833959352116261</v>
      </c>
    </row>
    <row r="8" customFormat="false" ht="15" hidden="false" customHeight="false" outlineLevel="0" collapsed="false">
      <c r="B8" s="12" t="s">
        <v>40</v>
      </c>
      <c r="C8" s="5" t="s">
        <v>41</v>
      </c>
      <c r="D8" s="13" t="s">
        <v>42</v>
      </c>
      <c r="E8" s="14" t="n">
        <v>1</v>
      </c>
      <c r="F8" s="15" t="n">
        <v>1.29</v>
      </c>
      <c r="G8" s="16" t="n">
        <v>45616</v>
      </c>
      <c r="H8" s="12"/>
      <c r="I8" s="12" t="e">
        <f aca="false">IF($D8="","",_xlfn.xlookup($D8,$R:$R,$S:$S,""))</f>
        <v>#NAME?</v>
      </c>
      <c r="J8" s="12" t="e">
        <f aca="false">IF($D8="","",_xlfn.xlookup($D8,$R:$R,$T:$T,""))</f>
        <v>#NAME?</v>
      </c>
      <c r="K8" s="12" t="e">
        <f aca="false">IF($D8="","",_xlfn.xlookup($D8,$R:$R,$U:$U,""))</f>
        <v>#NAME?</v>
      </c>
      <c r="L8" s="12" t="e">
        <f aca="false">IF($D8="","",_xlfn.xlookup($D8,$R:$R,$V:$V,""))</f>
        <v>#NAME?</v>
      </c>
      <c r="M8" s="12" t="e">
        <f aca="false">IF($D8="","",_xlfn.xlookup($D8,$R:$R,$W:$W,""))</f>
        <v>#NAME?</v>
      </c>
      <c r="N8" s="12" t="e">
        <f aca="false">IF($D8="","",_xlfn.xlookup($D8,$R:$R,$X:$X,""))</f>
        <v>#NAME?</v>
      </c>
      <c r="O8" s="12" t="e">
        <f aca="false">IF($D8="","",_xlfn.xlookup($D8,$R:$R,$Y:$Y,""))</f>
        <v>#NAME?</v>
      </c>
      <c r="P8" s="12" t="e">
        <f aca="false">IF($D8="","",_xlfn.xlookup($D8,$R:$R,$Z:$Z,""))</f>
        <v>#NAME?</v>
      </c>
      <c r="Q8" s="12"/>
      <c r="R8" s="11" t="s">
        <v>43</v>
      </c>
      <c r="S8" s="11" t="n">
        <v>72.2086597099361</v>
      </c>
      <c r="T8" s="11" t="n">
        <v>0.195545396756045</v>
      </c>
      <c r="U8" s="11" t="n">
        <v>176.578395375197</v>
      </c>
      <c r="V8" s="11" t="n">
        <v>1.24833344802502</v>
      </c>
      <c r="W8" s="11" t="n">
        <v>65.0514616542102</v>
      </c>
      <c r="X8" s="11" t="n">
        <v>0.102163881250149</v>
      </c>
      <c r="Y8" s="11" t="n">
        <v>0.62481230576257</v>
      </c>
      <c r="Z8" s="11" t="n">
        <v>0.000926796442287278</v>
      </c>
    </row>
    <row r="9" customFormat="false" ht="15.75" hidden="false" customHeight="true" outlineLevel="0" collapsed="false">
      <c r="B9" s="12" t="s">
        <v>44</v>
      </c>
      <c r="C9" s="5" t="s">
        <v>45</v>
      </c>
      <c r="D9" s="13" t="s">
        <v>46</v>
      </c>
      <c r="E9" s="14" t="n">
        <v>1</v>
      </c>
      <c r="F9" s="15" t="n">
        <v>0.888</v>
      </c>
      <c r="G9" s="16" t="n">
        <v>45617</v>
      </c>
      <c r="H9" s="12"/>
      <c r="I9" s="12" t="e">
        <f aca="false">IF($D9="","",_xlfn.xlookup($D9,$R:$R,$S:$S,""))</f>
        <v>#NAME?</v>
      </c>
      <c r="J9" s="12" t="e">
        <f aca="false">IF($D9="","",_xlfn.xlookup($D9,$R:$R,$T:$T,""))</f>
        <v>#NAME?</v>
      </c>
      <c r="K9" s="12" t="e">
        <f aca="false">IF($D9="","",_xlfn.xlookup($D9,$R:$R,$U:$U,""))</f>
        <v>#NAME?</v>
      </c>
      <c r="L9" s="12" t="e">
        <f aca="false">IF($D9="","",_xlfn.xlookup($D9,$R:$R,$V:$V,""))</f>
        <v>#NAME?</v>
      </c>
      <c r="M9" s="12" t="e">
        <f aca="false">IF($D9="","",_xlfn.xlookup($D9,$R:$R,$W:$W,""))</f>
        <v>#NAME?</v>
      </c>
      <c r="N9" s="12" t="e">
        <f aca="false">IF($D9="","",_xlfn.xlookup($D9,$R:$R,$X:$X,""))</f>
        <v>#NAME?</v>
      </c>
      <c r="O9" s="12" t="e">
        <f aca="false">IF($D9="","",_xlfn.xlookup($D9,$R:$R,$Y:$Y,""))</f>
        <v>#NAME?</v>
      </c>
      <c r="P9" s="12" t="e">
        <f aca="false">IF($D9="","",_xlfn.xlookup($D9,$R:$R,$Z:$Z,""))</f>
        <v>#NAME?</v>
      </c>
      <c r="Q9" s="12"/>
      <c r="R9" s="11" t="s">
        <v>47</v>
      </c>
      <c r="S9" s="11" t="n">
        <v>135.431181757324</v>
      </c>
      <c r="T9" s="11" t="n">
        <v>0.295328131996548</v>
      </c>
      <c r="U9" s="11" t="n">
        <v>408.644194763882</v>
      </c>
      <c r="V9" s="11" t="n">
        <v>2.33772092773898</v>
      </c>
      <c r="W9" s="11" t="n">
        <v>79.214718679195</v>
      </c>
      <c r="X9" s="11" t="n">
        <v>0.154295977852984</v>
      </c>
      <c r="Y9" s="11" t="n">
        <v>0.98372559750835</v>
      </c>
      <c r="Z9" s="11" t="n">
        <v>0.00147359879458826</v>
      </c>
    </row>
    <row r="10" customFormat="false" ht="15" hidden="false" customHeight="false" outlineLevel="0" collapsed="false">
      <c r="B10" s="12" t="s">
        <v>48</v>
      </c>
      <c r="C10" s="5" t="s">
        <v>49</v>
      </c>
      <c r="D10" s="13" t="s">
        <v>43</v>
      </c>
      <c r="E10" s="14" t="n">
        <v>1</v>
      </c>
      <c r="F10" s="15" t="n">
        <v>1.167</v>
      </c>
      <c r="G10" s="16" t="n">
        <v>45630</v>
      </c>
      <c r="H10" s="12"/>
      <c r="I10" s="12" t="e">
        <f aca="false">IF($D10="","",_xlfn.xlookup($D10,$R:$R,$S:$S,""))</f>
        <v>#NAME?</v>
      </c>
      <c r="J10" s="12" t="e">
        <f aca="false">IF($D10="","",_xlfn.xlookup($D10,$R:$R,$T:$T,""))</f>
        <v>#NAME?</v>
      </c>
      <c r="K10" s="12" t="e">
        <f aca="false">IF($D10="","",_xlfn.xlookup($D10,$R:$R,$U:$U,""))</f>
        <v>#NAME?</v>
      </c>
      <c r="L10" s="12" t="e">
        <f aca="false">IF($D10="","",_xlfn.xlookup($D10,$R:$R,$V:$V,""))</f>
        <v>#NAME?</v>
      </c>
      <c r="M10" s="12" t="e">
        <f aca="false">IF($D10="","",_xlfn.xlookup($D10,$R:$R,$W:$W,""))</f>
        <v>#NAME?</v>
      </c>
      <c r="N10" s="12" t="e">
        <f aca="false">IF($D10="","",_xlfn.xlookup($D10,$R:$R,$X:$X,""))</f>
        <v>#NAME?</v>
      </c>
      <c r="O10" s="12" t="e">
        <f aca="false">IF($D10="","",_xlfn.xlookup($D10,$R:$R,$Y:$Y,""))</f>
        <v>#NAME?</v>
      </c>
      <c r="P10" s="12" t="e">
        <f aca="false">IF($D10="","",_xlfn.xlookup($D10,$R:$R,$Z:$Z,""))</f>
        <v>#NAME?</v>
      </c>
      <c r="Q10" s="12"/>
      <c r="R10" s="11" t="s">
        <v>50</v>
      </c>
      <c r="S10" s="11" t="n">
        <v>111.681420045883</v>
      </c>
      <c r="T10" s="11" t="n">
        <v>0.223558130377504</v>
      </c>
      <c r="U10" s="11" t="n">
        <v>182.918432074164</v>
      </c>
      <c r="V10" s="11" t="n">
        <v>1.98820330544711</v>
      </c>
      <c r="W10" s="11" t="n">
        <v>83.0300226345139</v>
      </c>
      <c r="X10" s="11" t="n">
        <v>0.116799304219298</v>
      </c>
      <c r="Y10" s="11" t="n">
        <v>0.848394324016902</v>
      </c>
      <c r="Z10" s="11" t="n">
        <v>0.00115567409763281</v>
      </c>
    </row>
    <row r="11" customFormat="false" ht="15" hidden="false" customHeight="false" outlineLevel="0" collapsed="false">
      <c r="B11" s="12" t="s">
        <v>51</v>
      </c>
      <c r="C11" s="5" t="s">
        <v>49</v>
      </c>
      <c r="D11" s="13" t="s">
        <v>52</v>
      </c>
      <c r="E11" s="14" t="n">
        <v>1</v>
      </c>
      <c r="F11" s="15" t="n">
        <v>0.97</v>
      </c>
      <c r="G11" s="16" t="n">
        <v>45639</v>
      </c>
      <c r="H11" s="12"/>
      <c r="I11" s="12" t="e">
        <f aca="false">IF($D11="","",_xlfn.xlookup($D11,$R:$R,$S:$S,""))</f>
        <v>#NAME?</v>
      </c>
      <c r="J11" s="12" t="e">
        <f aca="false">IF($D11="","",_xlfn.xlookup($D11,$R:$R,$T:$T,""))</f>
        <v>#NAME?</v>
      </c>
      <c r="K11" s="12" t="e">
        <f aca="false">IF($D11="","",_xlfn.xlookup($D11,$R:$R,$U:$U,""))</f>
        <v>#NAME?</v>
      </c>
      <c r="L11" s="12" t="e">
        <f aca="false">IF($D11="","",_xlfn.xlookup($D11,$R:$R,$V:$V,""))</f>
        <v>#NAME?</v>
      </c>
      <c r="M11" s="12" t="e">
        <f aca="false">IF($D11="","",_xlfn.xlookup($D11,$R:$R,$W:$W,""))</f>
        <v>#NAME?</v>
      </c>
      <c r="N11" s="12" t="e">
        <f aca="false">IF($D11="","",_xlfn.xlookup($D11,$R:$R,$X:$X,""))</f>
        <v>#NAME?</v>
      </c>
      <c r="O11" s="12" t="e">
        <f aca="false">IF($D11="","",_xlfn.xlookup($D11,$R:$R,$Y:$Y,""))</f>
        <v>#NAME?</v>
      </c>
      <c r="P11" s="12" t="e">
        <f aca="false">IF($D11="","",_xlfn.xlookup($D11,$R:$R,$Z:$Z,""))</f>
        <v>#NAME?</v>
      </c>
      <c r="Q11" s="12"/>
      <c r="R11" s="11" t="s">
        <v>46</v>
      </c>
      <c r="S11" s="11" t="n">
        <v>80.3658071216463</v>
      </c>
      <c r="T11" s="11" t="n">
        <v>0.197670314131924</v>
      </c>
      <c r="U11" s="11" t="n">
        <v>117.739056471626</v>
      </c>
      <c r="V11" s="11" t="n">
        <v>1.62649597802268</v>
      </c>
      <c r="W11" s="11" t="n">
        <v>64.4672316324066</v>
      </c>
      <c r="X11" s="11" t="n">
        <v>0.10327405725049</v>
      </c>
      <c r="Y11" s="11" t="n">
        <v>0.629468534058063</v>
      </c>
      <c r="Z11" s="11" t="n">
        <v>0.000997362573554498</v>
      </c>
    </row>
    <row r="12" customFormat="false" ht="15" hidden="false" customHeight="false" outlineLevel="0" collapsed="false">
      <c r="B12" s="12" t="s">
        <v>53</v>
      </c>
      <c r="C12" s="5" t="s">
        <v>54</v>
      </c>
      <c r="D12" s="13" t="s">
        <v>39</v>
      </c>
      <c r="E12" s="14" t="n">
        <v>1</v>
      </c>
      <c r="F12" s="15" t="n">
        <v>0.697</v>
      </c>
      <c r="G12" s="16" t="n">
        <v>45637</v>
      </c>
      <c r="H12" s="12"/>
      <c r="I12" s="12" t="e">
        <f aca="false">IF($D12="","",_xlfn.xlookup($D12,$R:$R,$S:$S,""))</f>
        <v>#NAME?</v>
      </c>
      <c r="J12" s="12" t="e">
        <f aca="false">IF($D12="","",_xlfn.xlookup($D12,$R:$R,$T:$T,""))</f>
        <v>#NAME?</v>
      </c>
      <c r="K12" s="12" t="e">
        <f aca="false">IF($D12="","",_xlfn.xlookup($D12,$R:$R,$U:$U,""))</f>
        <v>#NAME?</v>
      </c>
      <c r="L12" s="12" t="e">
        <f aca="false">IF($D12="","",_xlfn.xlookup($D12,$R:$R,$V:$V,""))</f>
        <v>#NAME?</v>
      </c>
      <c r="M12" s="12" t="e">
        <f aca="false">IF($D12="","",_xlfn.xlookup($D12,$R:$R,$W:$W,""))</f>
        <v>#NAME?</v>
      </c>
      <c r="N12" s="12" t="e">
        <f aca="false">IF($D12="","",_xlfn.xlookup($D12,$R:$R,$X:$X,""))</f>
        <v>#NAME?</v>
      </c>
      <c r="O12" s="12" t="e">
        <f aca="false">IF($D12="","",_xlfn.xlookup($D12,$R:$R,$Y:$Y,""))</f>
        <v>#NAME?</v>
      </c>
      <c r="P12" s="12" t="e">
        <f aca="false">IF($D12="","",_xlfn.xlookup($D12,$R:$R,$Z:$Z,""))</f>
        <v>#NAME?</v>
      </c>
      <c r="Q12" s="12"/>
      <c r="R12" s="11" t="s">
        <v>38</v>
      </c>
      <c r="S12" s="11" t="n">
        <v>60.9385121224322</v>
      </c>
      <c r="T12" s="11" t="n">
        <v>0.224858003276397</v>
      </c>
      <c r="U12" s="11" t="n">
        <v>130.682429487267</v>
      </c>
      <c r="V12" s="11" t="n">
        <v>1.63002451652593</v>
      </c>
      <c r="W12" s="11" t="n">
        <v>56.6525646185347</v>
      </c>
      <c r="X12" s="11" t="n">
        <v>0.117478430717215</v>
      </c>
      <c r="Y12" s="11" t="n">
        <v>0.529952006663203</v>
      </c>
      <c r="Z12" s="11" t="n">
        <v>0.00109637574495196</v>
      </c>
    </row>
    <row r="13" customFormat="false" ht="15" hidden="false" customHeight="false" outlineLevel="0" collapsed="false">
      <c r="B13" s="12" t="s">
        <v>55</v>
      </c>
      <c r="C13" s="5" t="s">
        <v>56</v>
      </c>
      <c r="D13" s="13" t="s">
        <v>35</v>
      </c>
      <c r="E13" s="14" t="n">
        <v>1</v>
      </c>
      <c r="F13" s="15" t="n">
        <v>1.369</v>
      </c>
      <c r="G13" s="16" t="n">
        <v>45616</v>
      </c>
      <c r="H13" s="12"/>
      <c r="I13" s="12" t="e">
        <f aca="false">IF($D13="","",_xlfn.xlookup($D13,$R:$R,$S:$S,""))</f>
        <v>#NAME?</v>
      </c>
      <c r="J13" s="12" t="e">
        <f aca="false">IF($D13="","",_xlfn.xlookup($D13,$R:$R,$T:$T,""))</f>
        <v>#NAME?</v>
      </c>
      <c r="K13" s="12" t="e">
        <f aca="false">IF($D13="","",_xlfn.xlookup($D13,$R:$R,$U:$U,""))</f>
        <v>#NAME?</v>
      </c>
      <c r="L13" s="12" t="e">
        <f aca="false">IF($D13="","",_xlfn.xlookup($D13,$R:$R,$V:$V,""))</f>
        <v>#NAME?</v>
      </c>
      <c r="M13" s="12" t="e">
        <f aca="false">IF($D13="","",_xlfn.xlookup($D13,$R:$R,$W:$W,""))</f>
        <v>#NAME?</v>
      </c>
      <c r="N13" s="12" t="e">
        <f aca="false">IF($D13="","",_xlfn.xlookup($D13,$R:$R,$X:$X,""))</f>
        <v>#NAME?</v>
      </c>
      <c r="O13" s="12" t="e">
        <f aca="false">IF($D13="","",_xlfn.xlookup($D13,$R:$R,$Y:$Y,""))</f>
        <v>#NAME?</v>
      </c>
      <c r="P13" s="12" t="e">
        <f aca="false">IF($D13="","",_xlfn.xlookup($D13,$R:$R,$Z:$Z,""))</f>
        <v>#NAME?</v>
      </c>
      <c r="Q13" s="12"/>
      <c r="R13" s="11" t="s">
        <v>57</v>
      </c>
      <c r="S13" s="11" t="n">
        <v>145.867585702761</v>
      </c>
      <c r="T13" s="11" t="n">
        <v>0.362427459821697</v>
      </c>
      <c r="U13" s="11" t="n">
        <v>420.988686146585</v>
      </c>
      <c r="V13" s="11" t="n">
        <v>2.65020323609912</v>
      </c>
      <c r="W13" s="11" t="n">
        <v>113.714605825187</v>
      </c>
      <c r="X13" s="11" t="n">
        <v>0.189352429570155</v>
      </c>
      <c r="Y13" s="11" t="n">
        <v>1.19512787685067</v>
      </c>
      <c r="Z13" s="11" t="n">
        <v>0.00177094358519024</v>
      </c>
    </row>
    <row r="14" customFormat="false" ht="15" hidden="false" customHeight="false" outlineLevel="0" collapsed="false">
      <c r="B14" s="12" t="s">
        <v>58</v>
      </c>
      <c r="C14" s="5" t="s">
        <v>56</v>
      </c>
      <c r="D14" s="13" t="s">
        <v>31</v>
      </c>
      <c r="E14" s="14" t="n">
        <v>1</v>
      </c>
      <c r="F14" s="15" t="n">
        <v>1.289</v>
      </c>
      <c r="G14" s="16" t="n">
        <v>45616</v>
      </c>
      <c r="H14" s="12"/>
      <c r="I14" s="12" t="e">
        <f aca="false">IF($D14="","",_xlfn.xlookup($D14,$R:$R,$S:$S,""))</f>
        <v>#NAME?</v>
      </c>
      <c r="J14" s="12" t="e">
        <f aca="false">IF($D14="","",_xlfn.xlookup($D14,$R:$R,$T:$T,""))</f>
        <v>#NAME?</v>
      </c>
      <c r="K14" s="12" t="e">
        <f aca="false">IF($D14="","",_xlfn.xlookup($D14,$R:$R,$U:$U,""))</f>
        <v>#NAME?</v>
      </c>
      <c r="L14" s="12" t="e">
        <f aca="false">IF($D14="","",_xlfn.xlookup($D14,$R:$R,$V:$V,""))</f>
        <v>#NAME?</v>
      </c>
      <c r="M14" s="12" t="e">
        <f aca="false">IF($D14="","",_xlfn.xlookup($D14,$R:$R,$W:$W,""))</f>
        <v>#NAME?</v>
      </c>
      <c r="N14" s="12" t="e">
        <f aca="false">IF($D14="","",_xlfn.xlookup($D14,$R:$R,$X:$X,""))</f>
        <v>#NAME?</v>
      </c>
      <c r="O14" s="12" t="e">
        <f aca="false">IF($D14="","",_xlfn.xlookup($D14,$R:$R,$Y:$Y,""))</f>
        <v>#NAME?</v>
      </c>
      <c r="P14" s="12" t="e">
        <f aca="false">IF($D14="","",_xlfn.xlookup($D14,$R:$R,$Z:$Z,""))</f>
        <v>#NAME?</v>
      </c>
      <c r="Q14" s="12"/>
      <c r="R14" s="11" t="s">
        <v>59</v>
      </c>
      <c r="S14" s="11" t="n">
        <v>129.973104204756</v>
      </c>
      <c r="T14" s="11" t="n">
        <v>0.291247007429223</v>
      </c>
      <c r="U14" s="11" t="n">
        <v>381.51206049709</v>
      </c>
      <c r="V14" s="11" t="n">
        <v>2.47440515610021</v>
      </c>
      <c r="W14" s="11" t="n">
        <v>104.81211312457</v>
      </c>
      <c r="X14" s="11" t="n">
        <v>0.152163769513744</v>
      </c>
      <c r="Y14" s="11" t="n">
        <v>1.08447493313773</v>
      </c>
      <c r="Z14" s="11" t="n">
        <v>0.00148379283817314</v>
      </c>
    </row>
    <row r="15" customFormat="false" ht="15" hidden="false" customHeight="false" outlineLevel="0" collapsed="false">
      <c r="B15" s="12" t="s">
        <v>60</v>
      </c>
      <c r="C15" s="5" t="s">
        <v>56</v>
      </c>
      <c r="D15" s="13" t="s">
        <v>27</v>
      </c>
      <c r="E15" s="14" t="n">
        <v>1</v>
      </c>
      <c r="F15" s="15" t="n">
        <v>1.331</v>
      </c>
      <c r="G15" s="16" t="n">
        <v>45616</v>
      </c>
      <c r="H15" s="12"/>
      <c r="I15" s="12" t="e">
        <f aca="false">IF($D15="","",_xlfn.xlookup($D15,$R:$R,$S:$S,""))</f>
        <v>#NAME?</v>
      </c>
      <c r="J15" s="12" t="e">
        <f aca="false">IF($D15="","",_xlfn.xlookup($D15,$R:$R,$T:$T,""))</f>
        <v>#NAME?</v>
      </c>
      <c r="K15" s="12" t="e">
        <f aca="false">IF($D15="","",_xlfn.xlookup($D15,$R:$R,$U:$U,""))</f>
        <v>#NAME?</v>
      </c>
      <c r="L15" s="12" t="e">
        <f aca="false">IF($D15="","",_xlfn.xlookup($D15,$R:$R,$V:$V,""))</f>
        <v>#NAME?</v>
      </c>
      <c r="M15" s="12" t="e">
        <f aca="false">IF($D15="","",_xlfn.xlookup($D15,$R:$R,$W:$W,""))</f>
        <v>#NAME?</v>
      </c>
      <c r="N15" s="12" t="e">
        <f aca="false">IF($D15="","",_xlfn.xlookup($D15,$R:$R,$X:$X,""))</f>
        <v>#NAME?</v>
      </c>
      <c r="O15" s="12" t="e">
        <f aca="false">IF($D15="","",_xlfn.xlookup($D15,$R:$R,$Y:$Y,""))</f>
        <v>#NAME?</v>
      </c>
      <c r="P15" s="12" t="e">
        <f aca="false">IF($D15="","",_xlfn.xlookup($D15,$R:$R,$Z:$Z,""))</f>
        <v>#NAME?</v>
      </c>
      <c r="Q15" s="12"/>
      <c r="R15" s="11" t="s">
        <v>61</v>
      </c>
      <c r="S15" s="11" t="n">
        <v>25.5174719723699</v>
      </c>
      <c r="T15" s="11" t="n">
        <v>0.155581924173589</v>
      </c>
      <c r="U15" s="11" t="n">
        <v>562.085264200294</v>
      </c>
      <c r="V15" s="11" t="n">
        <v>1.36489974058699</v>
      </c>
      <c r="W15" s="11" t="n">
        <v>27.1673433774415</v>
      </c>
      <c r="X15" s="11" t="n">
        <v>0.0940854589583046</v>
      </c>
      <c r="Y15" s="11" t="n">
        <v>0.408256711528538</v>
      </c>
      <c r="Z15" s="11" t="n">
        <v>0.000835014395882151</v>
      </c>
    </row>
    <row r="16" customFormat="false" ht="15" hidden="false" customHeight="false" outlineLevel="0" collapsed="false">
      <c r="B16" s="12" t="s">
        <v>62</v>
      </c>
      <c r="C16" s="5" t="s">
        <v>63</v>
      </c>
      <c r="D16" s="13" t="s">
        <v>23</v>
      </c>
      <c r="E16" s="14" t="n">
        <v>1</v>
      </c>
      <c r="F16" s="15" t="n">
        <v>1.318</v>
      </c>
      <c r="G16" s="16" t="n">
        <v>45610</v>
      </c>
      <c r="H16" s="12"/>
      <c r="I16" s="12" t="e">
        <f aca="false">IF($D16="","",_xlfn.xlookup($D16,$R:$R,$S:$S,""))</f>
        <v>#NAME?</v>
      </c>
      <c r="J16" s="12" t="e">
        <f aca="false">IF($D16="","",_xlfn.xlookup($D16,$R:$R,$T:$T,""))</f>
        <v>#NAME?</v>
      </c>
      <c r="K16" s="12" t="e">
        <f aca="false">IF($D16="","",_xlfn.xlookup($D16,$R:$R,$U:$U,""))</f>
        <v>#NAME?</v>
      </c>
      <c r="L16" s="12" t="e">
        <f aca="false">IF($D16="","",_xlfn.xlookup($D16,$R:$R,$V:$V,""))</f>
        <v>#NAME?</v>
      </c>
      <c r="M16" s="12" t="e">
        <f aca="false">IF($D16="","",_xlfn.xlookup($D16,$R:$R,$W:$W,""))</f>
        <v>#NAME?</v>
      </c>
      <c r="N16" s="12" t="e">
        <f aca="false">IF($D16="","",_xlfn.xlookup($D16,$R:$R,$X:$X,""))</f>
        <v>#NAME?</v>
      </c>
      <c r="O16" s="12" t="e">
        <f aca="false">IF($D16="","",_xlfn.xlookup($D16,$R:$R,$Y:$Y,""))</f>
        <v>#NAME?</v>
      </c>
      <c r="P16" s="12" t="e">
        <f aca="false">IF($D16="","",_xlfn.xlookup($D16,$R:$R,$Z:$Z,""))</f>
        <v>#NAME?</v>
      </c>
      <c r="Q16" s="12"/>
      <c r="R16" s="11" t="s">
        <v>34</v>
      </c>
      <c r="S16" s="11" t="n">
        <v>115.690072602443</v>
      </c>
      <c r="T16" s="11" t="n">
        <v>0.257875511990528</v>
      </c>
      <c r="U16" s="11" t="n">
        <v>351.683697278144</v>
      </c>
      <c r="V16" s="11" t="n">
        <v>2.31979717582037</v>
      </c>
      <c r="W16" s="11" t="n">
        <v>92.4714874349018</v>
      </c>
      <c r="X16" s="11" t="n">
        <v>0.155945724598869</v>
      </c>
      <c r="Y16" s="11" t="n">
        <v>0.965218911608699</v>
      </c>
      <c r="Z16" s="11" t="n">
        <v>0.0013945619557183</v>
      </c>
    </row>
    <row r="17" customFormat="false" ht="15.75" hidden="false" customHeight="true" outlineLevel="0" collapsed="false">
      <c r="B17" s="12" t="s">
        <v>64</v>
      </c>
      <c r="C17" s="5" t="s">
        <v>63</v>
      </c>
      <c r="D17" s="17" t="s">
        <v>65</v>
      </c>
      <c r="E17" s="18" t="n">
        <v>1</v>
      </c>
      <c r="F17" s="19"/>
      <c r="G17" s="16" t="n">
        <v>45614</v>
      </c>
      <c r="H17" s="12"/>
      <c r="I17" s="12" t="e">
        <f aca="false">IF($D17="","",_xlfn.xlookup($D17,$R:$R,$S:$S,""))</f>
        <v>#NAME?</v>
      </c>
      <c r="J17" s="12" t="e">
        <f aca="false">IF($D17="","",_xlfn.xlookup($D17,$R:$R,$T:$T,""))</f>
        <v>#NAME?</v>
      </c>
      <c r="K17" s="12" t="e">
        <f aca="false">IF($D17="","",_xlfn.xlookup($D17,$R:$R,$U:$U,""))</f>
        <v>#NAME?</v>
      </c>
      <c r="L17" s="12" t="e">
        <f aca="false">IF($D17="","",_xlfn.xlookup($D17,$R:$R,$V:$V,""))</f>
        <v>#NAME?</v>
      </c>
      <c r="M17" s="12" t="e">
        <f aca="false">IF($D17="","",_xlfn.xlookup($D17,$R:$R,$W:$W,""))</f>
        <v>#NAME?</v>
      </c>
      <c r="N17" s="12" t="e">
        <f aca="false">IF($D17="","",_xlfn.xlookup($D17,$R:$R,$X:$X,""))</f>
        <v>#NAME?</v>
      </c>
      <c r="O17" s="12" t="e">
        <f aca="false">IF($D17="","",_xlfn.xlookup($D17,$R:$R,$Y:$Y,""))</f>
        <v>#NAME?</v>
      </c>
      <c r="P17" s="12" t="e">
        <f aca="false">IF($D17="","",_xlfn.xlookup($D17,$R:$R,$Z:$Z,""))</f>
        <v>#NAME?</v>
      </c>
      <c r="Q17" s="12"/>
      <c r="R17" s="11" t="s">
        <v>30</v>
      </c>
      <c r="S17" s="11" t="n">
        <v>65.6291163616882</v>
      </c>
      <c r="T17" s="11" t="n">
        <v>0.187556294079872</v>
      </c>
      <c r="U17" s="11" t="n">
        <v>239.373921816397</v>
      </c>
      <c r="V17" s="11" t="n">
        <v>1.75176877263275</v>
      </c>
      <c r="W17" s="11" t="n">
        <v>58.1841456501345</v>
      </c>
      <c r="X17" s="11" t="n">
        <v>0.113421402278936</v>
      </c>
      <c r="Y17" s="11" t="n">
        <v>0.589475756728432</v>
      </c>
      <c r="Z17" s="11" t="n">
        <v>0.00102637027318095</v>
      </c>
    </row>
    <row r="18" customFormat="false" ht="15" hidden="false" customHeight="false" outlineLevel="0" collapsed="false">
      <c r="B18" s="12" t="s">
        <v>66</v>
      </c>
      <c r="C18" s="5" t="s">
        <v>67</v>
      </c>
      <c r="D18" s="13" t="s">
        <v>19</v>
      </c>
      <c r="E18" s="14" t="n">
        <v>1</v>
      </c>
      <c r="F18" s="15" t="n">
        <v>1.27</v>
      </c>
      <c r="G18" s="16" t="n">
        <v>45611</v>
      </c>
      <c r="H18" s="12"/>
      <c r="I18" s="12" t="e">
        <f aca="false">IF($D18="","",_xlfn.xlookup($D18,$R:$R,$S:$S,""))</f>
        <v>#NAME?</v>
      </c>
      <c r="J18" s="12" t="e">
        <f aca="false">IF($D18="","",_xlfn.xlookup($D18,$R:$R,$T:$T,""))</f>
        <v>#NAME?</v>
      </c>
      <c r="K18" s="12" t="e">
        <f aca="false">IF($D18="","",_xlfn.xlookup($D18,$R:$R,$U:$U,""))</f>
        <v>#NAME?</v>
      </c>
      <c r="L18" s="12" t="e">
        <f aca="false">IF($D18="","",_xlfn.xlookup($D18,$R:$R,$V:$V,""))</f>
        <v>#NAME?</v>
      </c>
      <c r="M18" s="12" t="e">
        <f aca="false">IF($D18="","",_xlfn.xlookup($D18,$R:$R,$W:$W,""))</f>
        <v>#NAME?</v>
      </c>
      <c r="N18" s="12" t="e">
        <f aca="false">IF($D18="","",_xlfn.xlookup($D18,$R:$R,$X:$X,""))</f>
        <v>#NAME?</v>
      </c>
      <c r="O18" s="12" t="e">
        <f aca="false">IF($D18="","",_xlfn.xlookup($D18,$R:$R,$Y:$Y,""))</f>
        <v>#NAME?</v>
      </c>
      <c r="P18" s="12" t="e">
        <f aca="false">IF($D18="","",_xlfn.xlookup($D18,$R:$R,$Z:$Z,""))</f>
        <v>#NAME?</v>
      </c>
      <c r="Q18" s="12"/>
      <c r="R18" s="11" t="s">
        <v>68</v>
      </c>
      <c r="S18" s="11" t="n">
        <v>109.858482571859</v>
      </c>
      <c r="T18" s="11" t="n">
        <v>0.211466779761344</v>
      </c>
      <c r="U18" s="11" t="n">
        <v>401.404667249216</v>
      </c>
      <c r="V18" s="11" t="n">
        <v>2.06550625886161</v>
      </c>
      <c r="W18" s="11" t="n">
        <v>65.7144505213019</v>
      </c>
      <c r="X18" s="11" t="n">
        <v>0.127880852058894</v>
      </c>
      <c r="Y18" s="11" t="n">
        <v>0.828568750262446</v>
      </c>
      <c r="Z18" s="11" t="n">
        <v>0.00117462411351245</v>
      </c>
    </row>
    <row r="19" customFormat="false" ht="15" hidden="false" customHeight="false" outlineLevel="0" collapsed="false">
      <c r="B19" s="12" t="s">
        <v>69</v>
      </c>
      <c r="C19" s="5" t="s">
        <v>70</v>
      </c>
      <c r="D19" s="13" t="s">
        <v>71</v>
      </c>
      <c r="E19" s="14" t="n">
        <v>1</v>
      </c>
      <c r="F19" s="15" t="n">
        <v>0.702</v>
      </c>
      <c r="G19" s="16" t="n">
        <v>45610</v>
      </c>
      <c r="H19" s="12"/>
      <c r="I19" s="12" t="e">
        <f aca="false">IF($D19="","",_xlfn.xlookup($D19,$R:$R,$S:$S,""))</f>
        <v>#NAME?</v>
      </c>
      <c r="J19" s="12" t="e">
        <f aca="false">IF($D19="","",_xlfn.xlookup($D19,$R:$R,$T:$T,""))</f>
        <v>#NAME?</v>
      </c>
      <c r="K19" s="12" t="e">
        <f aca="false">IF($D19="","",_xlfn.xlookup($D19,$R:$R,$U:$U,""))</f>
        <v>#NAME?</v>
      </c>
      <c r="L19" s="12" t="e">
        <f aca="false">IF($D19="","",_xlfn.xlookup($D19,$R:$R,$V:$V,""))</f>
        <v>#NAME?</v>
      </c>
      <c r="M19" s="12" t="e">
        <f aca="false">IF($D19="","",_xlfn.xlookup($D19,$R:$R,$W:$W,""))</f>
        <v>#NAME?</v>
      </c>
      <c r="N19" s="12" t="e">
        <f aca="false">IF($D19="","",_xlfn.xlookup($D19,$R:$R,$X:$X,""))</f>
        <v>#NAME?</v>
      </c>
      <c r="O19" s="12" t="e">
        <f aca="false">IF($D19="","",_xlfn.xlookup($D19,$R:$R,$Y:$Y,""))</f>
        <v>#NAME?</v>
      </c>
      <c r="P19" s="12" t="e">
        <f aca="false">IF($D19="","",_xlfn.xlookup($D19,$R:$R,$Z:$Z,""))</f>
        <v>#NAME?</v>
      </c>
      <c r="Q19" s="12"/>
      <c r="R19" s="11" t="s">
        <v>72</v>
      </c>
      <c r="S19" s="11" t="n">
        <v>67.6222673893649</v>
      </c>
      <c r="T19" s="11" t="n">
        <v>0.165379328572143</v>
      </c>
      <c r="U19" s="11" t="n">
        <v>172.081192266449</v>
      </c>
      <c r="V19" s="11" t="n">
        <v>1.28861045405885</v>
      </c>
      <c r="W19" s="11" t="n">
        <v>63.258716391464</v>
      </c>
      <c r="X19" s="11" t="n">
        <v>0.100010268632271</v>
      </c>
      <c r="Y19" s="11" t="n">
        <v>0.599061537344019</v>
      </c>
      <c r="Z19" s="11" t="n">
        <v>0.000859328629828369</v>
      </c>
    </row>
    <row r="20" customFormat="false" ht="15" hidden="false" customHeight="false" outlineLevel="0" collapsed="false">
      <c r="B20" s="12" t="s">
        <v>73</v>
      </c>
      <c r="C20" s="5" t="s">
        <v>74</v>
      </c>
      <c r="D20" s="13" t="s">
        <v>75</v>
      </c>
      <c r="E20" s="14" t="n">
        <v>1</v>
      </c>
      <c r="F20" s="20" t="n">
        <v>1.76</v>
      </c>
      <c r="G20" s="16" t="n">
        <v>45588</v>
      </c>
      <c r="H20" s="12"/>
      <c r="I20" s="12" t="e">
        <f aca="false">IF($D20="","",_xlfn.xlookup($D20,$R:$R,$S:$S,""))</f>
        <v>#NAME?</v>
      </c>
      <c r="J20" s="12" t="e">
        <f aca="false">IF($D20="","",_xlfn.xlookup($D20,$R:$R,$T:$T,""))</f>
        <v>#NAME?</v>
      </c>
      <c r="K20" s="12" t="e">
        <f aca="false">IF($D20="","",_xlfn.xlookup($D20,$R:$R,$U:$U,""))</f>
        <v>#NAME?</v>
      </c>
      <c r="L20" s="12" t="e">
        <f aca="false">IF($D20="","",_xlfn.xlookup($D20,$R:$R,$V:$V,""))</f>
        <v>#NAME?</v>
      </c>
      <c r="M20" s="12" t="e">
        <f aca="false">IF($D20="","",_xlfn.xlookup($D20,$R:$R,$W:$W,""))</f>
        <v>#NAME?</v>
      </c>
      <c r="N20" s="12" t="e">
        <f aca="false">IF($D20="","",_xlfn.xlookup($D20,$R:$R,$X:$X,""))</f>
        <v>#NAME?</v>
      </c>
      <c r="O20" s="12" t="e">
        <f aca="false">IF($D20="","",_xlfn.xlookup($D20,$R:$R,$Y:$Y,""))</f>
        <v>#NAME?</v>
      </c>
      <c r="P20" s="12" t="e">
        <f aca="false">IF($D20="","",_xlfn.xlookup($D20,$R:$R,$Z:$Z,""))</f>
        <v>#NAME?</v>
      </c>
      <c r="Q20" s="12"/>
      <c r="R20" s="11" t="s">
        <v>76</v>
      </c>
      <c r="S20" s="11" t="n">
        <v>75.3535134500843</v>
      </c>
      <c r="T20" s="11" t="n">
        <v>0.172817617721526</v>
      </c>
      <c r="U20" s="11" t="n">
        <v>186.64780452702</v>
      </c>
      <c r="V20" s="11" t="n">
        <v>1.36121613770868</v>
      </c>
      <c r="W20" s="11" t="n">
        <v>73.496642279949</v>
      </c>
      <c r="X20" s="11" t="n">
        <v>0.104508444446728</v>
      </c>
      <c r="Y20" s="11" t="n">
        <v>0.680877524409033</v>
      </c>
      <c r="Z20" s="11" t="n">
        <v>0.000900429258076683</v>
      </c>
    </row>
    <row r="21" customFormat="false" ht="15" hidden="false" customHeight="false" outlineLevel="0" collapsed="false">
      <c r="B21" s="12" t="s">
        <v>77</v>
      </c>
      <c r="C21" s="5" t="s">
        <v>78</v>
      </c>
      <c r="D21" s="13" t="s">
        <v>79</v>
      </c>
      <c r="E21" s="14" t="n">
        <v>1</v>
      </c>
      <c r="F21" s="15" t="n">
        <v>1.682</v>
      </c>
      <c r="G21" s="16" t="n">
        <v>45610</v>
      </c>
      <c r="H21" s="12"/>
      <c r="I21" s="12" t="e">
        <f aca="false">IF($D21="","",_xlfn.xlookup($D21,$R:$R,$S:$S,""))</f>
        <v>#NAME?</v>
      </c>
      <c r="J21" s="12" t="e">
        <f aca="false">IF($D21="","",_xlfn.xlookup($D21,$R:$R,$T:$T,""))</f>
        <v>#NAME?</v>
      </c>
      <c r="K21" s="12" t="e">
        <f aca="false">IF($D21="","",_xlfn.xlookup($D21,$R:$R,$U:$U,""))</f>
        <v>#NAME?</v>
      </c>
      <c r="L21" s="12" t="e">
        <f aca="false">IF($D21="","",_xlfn.xlookup($D21,$R:$R,$V:$V,""))</f>
        <v>#NAME?</v>
      </c>
      <c r="M21" s="12" t="e">
        <f aca="false">IF($D21="","",_xlfn.xlookup($D21,$R:$R,$W:$W,""))</f>
        <v>#NAME?</v>
      </c>
      <c r="N21" s="12" t="e">
        <f aca="false">IF($D21="","",_xlfn.xlookup($D21,$R:$R,$X:$X,""))</f>
        <v>#NAME?</v>
      </c>
      <c r="O21" s="12" t="e">
        <f aca="false">IF($D21="","",_xlfn.xlookup($D21,$R:$R,$Y:$Y,""))</f>
        <v>#NAME?</v>
      </c>
      <c r="P21" s="12" t="e">
        <f aca="false">IF($D21="","",_xlfn.xlookup($D21,$R:$R,$Z:$Z,""))</f>
        <v>#NAME?</v>
      </c>
      <c r="Q21" s="12"/>
      <c r="R21" s="11" t="s">
        <v>80</v>
      </c>
      <c r="S21" s="11" t="n">
        <v>51.4789379674962</v>
      </c>
      <c r="T21" s="11" t="n">
        <v>0.299264270022557</v>
      </c>
      <c r="U21" s="11" t="n">
        <v>915.363158300895</v>
      </c>
      <c r="V21" s="11" t="n">
        <v>2.51354828797748</v>
      </c>
      <c r="W21" s="11" t="n">
        <v>55.2810277404063</v>
      </c>
      <c r="X21" s="11" t="n">
        <v>0.180974855173272</v>
      </c>
      <c r="Y21" s="11" t="n">
        <v>0.753122651360651</v>
      </c>
      <c r="Z21" s="11" t="n">
        <v>0.00158615581493713</v>
      </c>
    </row>
    <row r="22" customFormat="false" ht="15" hidden="false" customHeight="false" outlineLevel="0" collapsed="false">
      <c r="B22" s="12" t="s">
        <v>81</v>
      </c>
      <c r="C22" s="5" t="s">
        <v>82</v>
      </c>
      <c r="D22" s="13" t="s">
        <v>83</v>
      </c>
      <c r="E22" s="14" t="n">
        <v>1</v>
      </c>
      <c r="F22" s="15" t="n">
        <v>1.821</v>
      </c>
      <c r="G22" s="16" t="n">
        <v>45672</v>
      </c>
      <c r="H22" s="12"/>
      <c r="I22" s="12" t="e">
        <f aca="false">IF($D22="","",_xlfn.xlookup($D22,$R:$R,$S:$S,""))</f>
        <v>#NAME?</v>
      </c>
      <c r="J22" s="12" t="e">
        <f aca="false">IF($D22="","",_xlfn.xlookup($D22,$R:$R,$T:$T,""))</f>
        <v>#NAME?</v>
      </c>
      <c r="K22" s="12" t="e">
        <f aca="false">IF($D22="","",_xlfn.xlookup($D22,$R:$R,$U:$U,""))</f>
        <v>#NAME?</v>
      </c>
      <c r="L22" s="12" t="e">
        <f aca="false">IF($D22="","",_xlfn.xlookup($D22,$R:$R,$V:$V,""))</f>
        <v>#NAME?</v>
      </c>
      <c r="M22" s="12" t="e">
        <f aca="false">IF($D22="","",_xlfn.xlookup($D22,$R:$R,$W:$W,""))</f>
        <v>#NAME?</v>
      </c>
      <c r="N22" s="12" t="e">
        <f aca="false">IF($D22="","",_xlfn.xlookup($D22,$R:$R,$X:$X,""))</f>
        <v>#NAME?</v>
      </c>
      <c r="O22" s="12" t="e">
        <f aca="false">IF($D22="","",_xlfn.xlookup($D22,$R:$R,$Y:$Y,""))</f>
        <v>#NAME?</v>
      </c>
      <c r="P22" s="12" t="e">
        <f aca="false">IF($D22="","",_xlfn.xlookup($D22,$R:$R,$Z:$Z,""))</f>
        <v>#NAME?</v>
      </c>
      <c r="Q22" s="12"/>
      <c r="R22" s="11" t="s">
        <v>26</v>
      </c>
      <c r="S22" s="11" t="n">
        <v>63.6647184638528</v>
      </c>
      <c r="T22" s="11" t="n">
        <v>0.155849428626299</v>
      </c>
      <c r="U22" s="11" t="n">
        <v>182.173765222526</v>
      </c>
      <c r="V22" s="11" t="n">
        <v>1.78964559250388</v>
      </c>
      <c r="W22" s="11" t="n">
        <v>57.198443765169</v>
      </c>
      <c r="X22" s="11" t="n">
        <v>0.0942472276171017</v>
      </c>
      <c r="Y22" s="11" t="n">
        <v>0.558932535446196</v>
      </c>
      <c r="Z22" s="11" t="n">
        <v>0.000920767027333592</v>
      </c>
    </row>
    <row r="23" customFormat="false" ht="15" hidden="false" customHeight="false" outlineLevel="0" collapsed="false">
      <c r="B23" s="12" t="s">
        <v>84</v>
      </c>
      <c r="C23" s="5" t="s">
        <v>85</v>
      </c>
      <c r="D23" s="13" t="s">
        <v>86</v>
      </c>
      <c r="E23" s="14" t="n">
        <v>1</v>
      </c>
      <c r="F23" s="15" t="n">
        <v>1.849</v>
      </c>
      <c r="G23" s="16" t="n">
        <v>45672</v>
      </c>
      <c r="H23" s="12"/>
      <c r="I23" s="12" t="e">
        <f aca="false">IF($D23="","",_xlfn.xlookup($D23,$R:$R,$S:$S,""))</f>
        <v>#NAME?</v>
      </c>
      <c r="J23" s="12" t="e">
        <f aca="false">IF($D23="","",_xlfn.xlookup($D23,$R:$R,$T:$T,""))</f>
        <v>#NAME?</v>
      </c>
      <c r="K23" s="12" t="e">
        <f aca="false">IF($D23="","",_xlfn.xlookup($D23,$R:$R,$U:$U,""))</f>
        <v>#NAME?</v>
      </c>
      <c r="L23" s="12" t="e">
        <f aca="false">IF($D23="","",_xlfn.xlookup($D23,$R:$R,$V:$V,""))</f>
        <v>#NAME?</v>
      </c>
      <c r="M23" s="12" t="e">
        <f aca="false">IF($D23="","",_xlfn.xlookup($D23,$R:$R,$W:$W,""))</f>
        <v>#NAME?</v>
      </c>
      <c r="N23" s="12" t="e">
        <f aca="false">IF($D23="","",_xlfn.xlookup($D23,$R:$R,$X:$X,""))</f>
        <v>#NAME?</v>
      </c>
      <c r="O23" s="12" t="e">
        <f aca="false">IF($D23="","",_xlfn.xlookup($D23,$R:$R,$Y:$Y,""))</f>
        <v>#NAME?</v>
      </c>
      <c r="P23" s="12" t="e">
        <f aca="false">IF($D23="","",_xlfn.xlookup($D23,$R:$R,$Z:$Z,""))</f>
        <v>#NAME?</v>
      </c>
      <c r="Q23" s="12"/>
      <c r="R23" s="11" t="s">
        <v>22</v>
      </c>
      <c r="S23" s="11" t="n">
        <v>69.4175665963792</v>
      </c>
      <c r="T23" s="11" t="n">
        <v>0.175334431678034</v>
      </c>
      <c r="U23" s="11" t="n">
        <v>169.015498808419</v>
      </c>
      <c r="V23" s="11" t="n">
        <v>1.83583423104771</v>
      </c>
      <c r="W23" s="11" t="n">
        <v>66.0684377661489</v>
      </c>
      <c r="X23" s="11" t="n">
        <v>0.106030443852948</v>
      </c>
      <c r="Y23" s="11" t="n">
        <v>0.618072577088148</v>
      </c>
      <c r="Z23" s="11" t="n">
        <v>0.000998557626300969</v>
      </c>
    </row>
    <row r="24" customFormat="false" ht="15" hidden="false" customHeight="false" outlineLevel="0" collapsed="false">
      <c r="B24" s="12" t="s">
        <v>87</v>
      </c>
      <c r="C24" s="5" t="s">
        <v>88</v>
      </c>
      <c r="D24" s="13" t="s">
        <v>89</v>
      </c>
      <c r="E24" s="14" t="n">
        <v>1</v>
      </c>
      <c r="F24" s="15" t="n">
        <v>0.857</v>
      </c>
      <c r="G24" s="16" t="n">
        <v>45681</v>
      </c>
      <c r="H24" s="12"/>
      <c r="I24" s="12" t="e">
        <f aca="false">IF($D24="","",_xlfn.xlookup($D24,$R:$R,$S:$S,""))</f>
        <v>#NAME?</v>
      </c>
      <c r="J24" s="12" t="e">
        <f aca="false">IF($D24="","",_xlfn.xlookup($D24,$R:$R,$T:$T,""))</f>
        <v>#NAME?</v>
      </c>
      <c r="K24" s="12" t="e">
        <f aca="false">IF($D24="","",_xlfn.xlookup($D24,$R:$R,$U:$U,""))</f>
        <v>#NAME?</v>
      </c>
      <c r="L24" s="12" t="e">
        <f aca="false">IF($D24="","",_xlfn.xlookup($D24,$R:$R,$V:$V,""))</f>
        <v>#NAME?</v>
      </c>
      <c r="M24" s="12" t="e">
        <f aca="false">IF($D24="","",_xlfn.xlookup($D24,$R:$R,$W:$W,""))</f>
        <v>#NAME?</v>
      </c>
      <c r="N24" s="12" t="e">
        <f aca="false">IF($D24="","",_xlfn.xlookup($D24,$R:$R,$X:$X,""))</f>
        <v>#NAME?</v>
      </c>
      <c r="O24" s="12" t="e">
        <f aca="false">IF($D24="","",_xlfn.xlookup($D24,$R:$R,$Y:$Y,""))</f>
        <v>#NAME?</v>
      </c>
      <c r="P24" s="12" t="e">
        <f aca="false">IF($D24="","",_xlfn.xlookup($D24,$R:$R,$Z:$Z,""))</f>
        <v>#NAME?</v>
      </c>
      <c r="Q24" s="12"/>
      <c r="R24" s="11" t="s">
        <v>18</v>
      </c>
      <c r="S24" s="11" t="n">
        <v>65.2661786291048</v>
      </c>
      <c r="T24" s="11" t="n">
        <v>0.135564790292035</v>
      </c>
      <c r="U24" s="11" t="n">
        <v>160.727117681155</v>
      </c>
      <c r="V24" s="11" t="n">
        <v>1.21517175131863</v>
      </c>
      <c r="W24" s="11" t="n">
        <v>63.9306636491072</v>
      </c>
      <c r="X24" s="11" t="n">
        <v>0.0819804458709579</v>
      </c>
      <c r="Y24" s="11" t="n">
        <v>0.590782952902937</v>
      </c>
      <c r="Z24" s="11" t="n">
        <v>0.000732317642114203</v>
      </c>
    </row>
    <row r="25" customFormat="false" ht="15.75" hidden="false" customHeight="true" outlineLevel="0" collapsed="false">
      <c r="B25" s="12" t="s">
        <v>90</v>
      </c>
      <c r="C25" s="5" t="s">
        <v>91</v>
      </c>
      <c r="D25" s="13" t="s">
        <v>92</v>
      </c>
      <c r="E25" s="14" t="n">
        <v>1</v>
      </c>
      <c r="F25" s="15" t="n">
        <v>0.987</v>
      </c>
      <c r="G25" s="16" t="n">
        <v>45642</v>
      </c>
      <c r="H25" s="12"/>
      <c r="I25" s="12" t="e">
        <f aca="false">IF($D25="","",_xlfn.xlookup($D25,$R:$R,$S:$S,""))</f>
        <v>#NAME?</v>
      </c>
      <c r="J25" s="12" t="e">
        <f aca="false">IF($D25="","",_xlfn.xlookup($D25,$R:$R,$T:$T,""))</f>
        <v>#NAME?</v>
      </c>
      <c r="K25" s="12" t="e">
        <f aca="false">IF($D25="","",_xlfn.xlookup($D25,$R:$R,$U:$U,""))</f>
        <v>#NAME?</v>
      </c>
      <c r="L25" s="12" t="e">
        <f aca="false">IF($D25="","",_xlfn.xlookup($D25,$R:$R,$V:$V,""))</f>
        <v>#NAME?</v>
      </c>
      <c r="M25" s="12" t="e">
        <f aca="false">IF($D25="","",_xlfn.xlookup($D25,$R:$R,$W:$W,""))</f>
        <v>#NAME?</v>
      </c>
      <c r="N25" s="12" t="e">
        <f aca="false">IF($D25="","",_xlfn.xlookup($D25,$R:$R,$X:$X,""))</f>
        <v>#NAME?</v>
      </c>
      <c r="O25" s="12" t="e">
        <f aca="false">IF($D25="","",_xlfn.xlookup($D25,$R:$R,$Y:$Y,""))</f>
        <v>#NAME?</v>
      </c>
      <c r="P25" s="12" t="e">
        <f aca="false">IF($D25="","",_xlfn.xlookup($D25,$R:$R,$Z:$Z,""))</f>
        <v>#NAME?</v>
      </c>
      <c r="Q25" s="12"/>
      <c r="R25" s="11" t="s">
        <v>93</v>
      </c>
      <c r="S25" s="11" t="n">
        <v>22.4465418372651</v>
      </c>
      <c r="T25" s="11" t="n">
        <v>0.167418051470893</v>
      </c>
      <c r="U25" s="11" t="n">
        <v>546.1995315441</v>
      </c>
      <c r="V25" s="11" t="n">
        <v>1.35380586580411</v>
      </c>
      <c r="W25" s="11" t="n">
        <v>29.3012820644587</v>
      </c>
      <c r="X25" s="11" t="n">
        <v>0.101243150797964</v>
      </c>
      <c r="Y25" s="11" t="n">
        <v>0.40339472696121</v>
      </c>
      <c r="Z25" s="11" t="n">
        <v>0.000878253331233459</v>
      </c>
    </row>
    <row r="26" customFormat="false" ht="15" hidden="false" customHeight="false" outlineLevel="0" collapsed="false">
      <c r="B26" s="12" t="s">
        <v>94</v>
      </c>
      <c r="C26" s="5" t="s">
        <v>95</v>
      </c>
      <c r="D26" s="13" t="s">
        <v>96</v>
      </c>
      <c r="E26" s="14" t="n">
        <v>1</v>
      </c>
      <c r="F26" s="15" t="n">
        <v>1.542</v>
      </c>
      <c r="G26" s="16" t="n">
        <v>45665</v>
      </c>
      <c r="H26" s="12"/>
      <c r="I26" s="12" t="e">
        <f aca="false">IF($D26="","",_xlfn.xlookup($D26,$R:$R,$S:$S,""))</f>
        <v>#NAME?</v>
      </c>
      <c r="J26" s="12" t="e">
        <f aca="false">IF($D26="","",_xlfn.xlookup($D26,$R:$R,$T:$T,""))</f>
        <v>#NAME?</v>
      </c>
      <c r="K26" s="12" t="e">
        <f aca="false">IF($D26="","",_xlfn.xlookup($D26,$R:$R,$U:$U,""))</f>
        <v>#NAME?</v>
      </c>
      <c r="L26" s="12" t="e">
        <f aca="false">IF($D26="","",_xlfn.xlookup($D26,$R:$R,$V:$V,""))</f>
        <v>#NAME?</v>
      </c>
      <c r="M26" s="12" t="e">
        <f aca="false">IF($D26="","",_xlfn.xlookup($D26,$R:$R,$W:$W,""))</f>
        <v>#NAME?</v>
      </c>
      <c r="N26" s="12" t="e">
        <f aca="false">IF($D26="","",_xlfn.xlookup($D26,$R:$R,$X:$X,""))</f>
        <v>#NAME?</v>
      </c>
      <c r="O26" s="12" t="e">
        <f aca="false">IF($D26="","",_xlfn.xlookup($D26,$R:$R,$Y:$Y,""))</f>
        <v>#NAME?</v>
      </c>
      <c r="P26" s="12" t="e">
        <f aca="false">IF($D26="","",_xlfn.xlookup($D26,$R:$R,$Z:$Z,""))</f>
        <v>#NAME?</v>
      </c>
      <c r="Q26" s="12"/>
      <c r="R26" s="11" t="s">
        <v>97</v>
      </c>
      <c r="S26" s="11" t="n">
        <v>36.5487628189257</v>
      </c>
      <c r="T26" s="11" t="n">
        <v>0.251676692859633</v>
      </c>
      <c r="U26" s="11" t="n">
        <v>1019.32787846624</v>
      </c>
      <c r="V26" s="11" t="n">
        <v>2.55518379395097</v>
      </c>
      <c r="W26" s="11" t="n">
        <v>25.7926461167386</v>
      </c>
      <c r="X26" s="11" t="n">
        <v>0.152197096690918</v>
      </c>
      <c r="Y26" s="11" t="n">
        <v>0.590568399468858</v>
      </c>
      <c r="Z26" s="11" t="n">
        <v>0.00141715560770327</v>
      </c>
    </row>
    <row r="27" customFormat="false" ht="15" hidden="false" customHeight="false" outlineLevel="0" collapsed="false">
      <c r="B27" s="12" t="s">
        <v>98</v>
      </c>
      <c r="C27" s="5" t="s">
        <v>99</v>
      </c>
      <c r="D27" s="13" t="s">
        <v>100</v>
      </c>
      <c r="E27" s="14" t="n">
        <v>1</v>
      </c>
      <c r="F27" s="15" t="n">
        <v>1.295</v>
      </c>
      <c r="G27" s="16" t="n">
        <v>45716</v>
      </c>
      <c r="H27" s="12"/>
      <c r="I27" s="12" t="e">
        <f aca="false">IF($D27="","",_xlfn.xlookup($D27,$R:$R,$S:$S,""))</f>
        <v>#NAME?</v>
      </c>
      <c r="J27" s="12" t="e">
        <f aca="false">IF($D27="","",_xlfn.xlookup($D27,$R:$R,$T:$T,""))</f>
        <v>#NAME?</v>
      </c>
      <c r="K27" s="12" t="e">
        <f aca="false">IF($D27="","",_xlfn.xlookup($D27,$R:$R,$U:$U,""))</f>
        <v>#NAME?</v>
      </c>
      <c r="L27" s="12" t="e">
        <f aca="false">IF($D27="","",_xlfn.xlookup($D27,$R:$R,$V:$V,""))</f>
        <v>#NAME?</v>
      </c>
      <c r="M27" s="12" t="e">
        <f aca="false">IF($D27="","",_xlfn.xlookup($D27,$R:$R,$W:$W,""))</f>
        <v>#NAME?</v>
      </c>
      <c r="N27" s="12" t="e">
        <f aca="false">IF($D27="","",_xlfn.xlookup($D27,$R:$R,$X:$X,""))</f>
        <v>#NAME?</v>
      </c>
      <c r="O27" s="12" t="e">
        <f aca="false">IF($D27="","",_xlfn.xlookup($D27,$R:$R,$Y:$Y,""))</f>
        <v>#NAME?</v>
      </c>
      <c r="P27" s="12" t="e">
        <f aca="false">IF($D27="","",_xlfn.xlookup($D27,$R:$R,$Z:$Z,""))</f>
        <v>#NAME?</v>
      </c>
      <c r="Q27" s="12"/>
      <c r="R27" s="11" t="s">
        <v>101</v>
      </c>
      <c r="S27" s="11" t="n">
        <v>4.65094299322849</v>
      </c>
      <c r="T27" s="11" t="n">
        <v>0.046585155279498</v>
      </c>
      <c r="U27" s="11" t="n">
        <v>214.625885880966</v>
      </c>
      <c r="V27" s="11" t="n">
        <v>0.556559014044814</v>
      </c>
      <c r="W27" s="11" t="n">
        <v>1.40888890905323</v>
      </c>
      <c r="X27" s="11" t="n">
        <v>0.0281715613069882</v>
      </c>
      <c r="Y27" s="11" t="n">
        <v>0.0940895498163498</v>
      </c>
      <c r="Z27" s="11" t="n">
        <v>0.00027994918195839</v>
      </c>
    </row>
    <row r="28" customFormat="false" ht="15" hidden="false" customHeight="false" outlineLevel="0" collapsed="false">
      <c r="B28" s="12" t="s">
        <v>102</v>
      </c>
      <c r="C28" s="5" t="s">
        <v>63</v>
      </c>
      <c r="D28" s="13" t="s">
        <v>103</v>
      </c>
      <c r="E28" s="14" t="n">
        <v>1</v>
      </c>
      <c r="F28" s="15" t="n">
        <v>1.342</v>
      </c>
      <c r="G28" s="16" t="n">
        <v>45687</v>
      </c>
      <c r="H28" s="12"/>
      <c r="I28" s="12" t="e">
        <f aca="false">IF($D28="","",_xlfn.xlookup($D28,$R:$R,$S:$S,""))</f>
        <v>#NAME?</v>
      </c>
      <c r="J28" s="12" t="e">
        <f aca="false">IF($D28="","",_xlfn.xlookup($D28,$R:$R,$T:$T,""))</f>
        <v>#NAME?</v>
      </c>
      <c r="K28" s="12" t="e">
        <f aca="false">IF($D28="","",_xlfn.xlookup($D28,$R:$R,$U:$U,""))</f>
        <v>#NAME?</v>
      </c>
      <c r="L28" s="12" t="e">
        <f aca="false">IF($D28="","",_xlfn.xlookup($D28,$R:$R,$V:$V,""))</f>
        <v>#NAME?</v>
      </c>
      <c r="M28" s="12" t="e">
        <f aca="false">IF($D28="","",_xlfn.xlookup($D28,$R:$R,$W:$W,""))</f>
        <v>#NAME?</v>
      </c>
      <c r="N28" s="12" t="e">
        <f aca="false">IF($D28="","",_xlfn.xlookup($D28,$R:$R,$X:$X,""))</f>
        <v>#NAME?</v>
      </c>
      <c r="O28" s="12" t="e">
        <f aca="false">IF($D28="","",_xlfn.xlookup($D28,$R:$R,$Y:$Y,""))</f>
        <v>#NAME?</v>
      </c>
      <c r="P28" s="12" t="e">
        <f aca="false">IF($D28="","",_xlfn.xlookup($D28,$R:$R,$Z:$Z,""))</f>
        <v>#NAME?</v>
      </c>
      <c r="Q28" s="12"/>
      <c r="R28" s="11" t="s">
        <v>104</v>
      </c>
      <c r="S28" s="11" t="n">
        <v>205.504888618703</v>
      </c>
      <c r="T28" s="11" t="n">
        <v>1.28944078232177</v>
      </c>
      <c r="U28" s="11" t="n">
        <v>2129.15005005661</v>
      </c>
      <c r="V28" s="11" t="n">
        <v>5.66115212091897</v>
      </c>
      <c r="W28" s="11" t="n">
        <v>321.825703976623</v>
      </c>
      <c r="X28" s="11" t="n">
        <v>0.779766855620965</v>
      </c>
      <c r="Y28" s="11" t="n">
        <v>3.00386149863099</v>
      </c>
      <c r="Z28" s="11" t="n">
        <v>0.00610211780177605</v>
      </c>
    </row>
    <row r="29" customFormat="false" ht="15" hidden="false" customHeight="false" outlineLevel="0" collapsed="false">
      <c r="B29" s="12" t="s">
        <v>105</v>
      </c>
      <c r="C29" s="5" t="s">
        <v>106</v>
      </c>
      <c r="D29" s="13" t="s">
        <v>107</v>
      </c>
      <c r="E29" s="14" t="n">
        <v>1</v>
      </c>
      <c r="F29" s="15" t="n">
        <v>1.454</v>
      </c>
      <c r="G29" s="16" t="n">
        <v>45687</v>
      </c>
      <c r="H29" s="12"/>
      <c r="I29" s="12" t="e">
        <f aca="false">IF($D29="","",_xlfn.xlookup($D29,$R:$R,$S:$S,""))</f>
        <v>#NAME?</v>
      </c>
      <c r="J29" s="12" t="e">
        <f aca="false">IF($D29="","",_xlfn.xlookup($D29,$R:$R,$T:$T,""))</f>
        <v>#NAME?</v>
      </c>
      <c r="K29" s="12" t="e">
        <f aca="false">IF($D29="","",_xlfn.xlookup($D29,$R:$R,$U:$U,""))</f>
        <v>#NAME?</v>
      </c>
      <c r="L29" s="12" t="e">
        <f aca="false">IF($D29="","",_xlfn.xlookup($D29,$R:$R,$V:$V,""))</f>
        <v>#NAME?</v>
      </c>
      <c r="M29" s="12" t="e">
        <f aca="false">IF($D29="","",_xlfn.xlookup($D29,$R:$R,$W:$W,""))</f>
        <v>#NAME?</v>
      </c>
      <c r="N29" s="12" t="e">
        <f aca="false">IF($D29="","",_xlfn.xlookup($D29,$R:$R,$X:$X,""))</f>
        <v>#NAME?</v>
      </c>
      <c r="O29" s="12" t="e">
        <f aca="false">IF($D29="","",_xlfn.xlookup($D29,$R:$R,$Y:$Y,""))</f>
        <v>#NAME?</v>
      </c>
      <c r="P29" s="12" t="e">
        <f aca="false">IF($D29="","",_xlfn.xlookup($D29,$R:$R,$Z:$Z,""))</f>
        <v>#NAME?</v>
      </c>
      <c r="Q29" s="12"/>
      <c r="R29" s="11" t="s">
        <v>108</v>
      </c>
      <c r="S29" s="11" t="n">
        <v>29.1220620349059</v>
      </c>
      <c r="T29" s="11" t="n">
        <v>0.176007533340477</v>
      </c>
      <c r="U29" s="11" t="n">
        <v>685.412954830103</v>
      </c>
      <c r="V29" s="11" t="n">
        <v>1.60885625427357</v>
      </c>
      <c r="W29" s="11" t="n">
        <v>19.9872568263788</v>
      </c>
      <c r="X29" s="11" t="n">
        <v>0.106437490360265</v>
      </c>
      <c r="Y29" s="11" t="n">
        <v>0.425480809191614</v>
      </c>
      <c r="Z29" s="11" t="n">
        <v>0.000956573455439791</v>
      </c>
    </row>
    <row r="30" customFormat="false" ht="15" hidden="false" customHeight="false" outlineLevel="0" collapsed="false">
      <c r="B30" s="12" t="s">
        <v>109</v>
      </c>
      <c r="C30" s="5" t="s">
        <v>106</v>
      </c>
      <c r="D30" s="13" t="s">
        <v>110</v>
      </c>
      <c r="E30" s="14" t="n">
        <v>1</v>
      </c>
      <c r="F30" s="15" t="n">
        <v>1.307</v>
      </c>
      <c r="G30" s="16" t="n">
        <v>45687</v>
      </c>
      <c r="H30" s="12"/>
      <c r="I30" s="12" t="e">
        <f aca="false">IF($D30="","",_xlfn.xlookup($D30,$R:$R,$S:$S,""))</f>
        <v>#NAME?</v>
      </c>
      <c r="J30" s="12" t="e">
        <f aca="false">IF($D30="","",_xlfn.xlookup($D30,$R:$R,$T:$T,""))</f>
        <v>#NAME?</v>
      </c>
      <c r="K30" s="12" t="e">
        <f aca="false">IF($D30="","",_xlfn.xlookup($D30,$R:$R,$U:$U,""))</f>
        <v>#NAME?</v>
      </c>
      <c r="L30" s="12" t="e">
        <f aca="false">IF($D30="","",_xlfn.xlookup($D30,$R:$R,$V:$V,""))</f>
        <v>#NAME?</v>
      </c>
      <c r="M30" s="12" t="e">
        <f aca="false">IF($D30="","",_xlfn.xlookup($D30,$R:$R,$W:$W,""))</f>
        <v>#NAME?</v>
      </c>
      <c r="N30" s="12" t="e">
        <f aca="false">IF($D30="","",_xlfn.xlookup($D30,$R:$R,$X:$X,""))</f>
        <v>#NAME?</v>
      </c>
      <c r="O30" s="12" t="e">
        <f aca="false">IF($D30="","",_xlfn.xlookup($D30,$R:$R,$Y:$Y,""))</f>
        <v>#NAME?</v>
      </c>
      <c r="P30" s="12" t="e">
        <f aca="false">IF($D30="","",_xlfn.xlookup($D30,$R:$R,$Z:$Z,""))</f>
        <v>#NAME?</v>
      </c>
      <c r="Q30" s="12"/>
      <c r="R30" s="11" t="s">
        <v>111</v>
      </c>
      <c r="S30" s="11" t="n">
        <v>12.5473147260278</v>
      </c>
      <c r="T30" s="11" t="n">
        <v>0.0873397001067322</v>
      </c>
      <c r="U30" s="11" t="n">
        <v>378.195568120048</v>
      </c>
      <c r="V30" s="11" t="n">
        <v>0.834311152688816</v>
      </c>
      <c r="W30" s="11" t="n">
        <v>13.0401498880318</v>
      </c>
      <c r="X30" s="11" t="n">
        <v>0.0528171624915379</v>
      </c>
      <c r="Y30" s="11" t="n">
        <v>0.233090321233601</v>
      </c>
      <c r="Z30" s="11" t="n">
        <v>0.000481498732898676</v>
      </c>
    </row>
    <row r="31" customFormat="false" ht="15" hidden="false" customHeight="false" outlineLevel="0" collapsed="false">
      <c r="B31" s="12" t="s">
        <v>112</v>
      </c>
      <c r="C31" s="5" t="s">
        <v>106</v>
      </c>
      <c r="D31" s="13" t="s">
        <v>113</v>
      </c>
      <c r="E31" s="14" t="n">
        <v>1</v>
      </c>
      <c r="F31" s="15" t="n">
        <v>1.507</v>
      </c>
      <c r="G31" s="16" t="n">
        <v>45687</v>
      </c>
      <c r="H31" s="12"/>
      <c r="I31" s="12" t="e">
        <f aca="false">IF($D31="","",_xlfn.xlookup($D31,$R:$R,$S:$S,""))</f>
        <v>#NAME?</v>
      </c>
      <c r="J31" s="12" t="e">
        <f aca="false">IF($D31="","",_xlfn.xlookup($D31,$R:$R,$T:$T,""))</f>
        <v>#NAME?</v>
      </c>
      <c r="K31" s="12" t="e">
        <f aca="false">IF($D31="","",_xlfn.xlookup($D31,$R:$R,$U:$U,""))</f>
        <v>#NAME?</v>
      </c>
      <c r="L31" s="12" t="e">
        <f aca="false">IF($D31="","",_xlfn.xlookup($D31,$R:$R,$V:$V,""))</f>
        <v>#NAME?</v>
      </c>
      <c r="M31" s="12" t="e">
        <f aca="false">IF($D31="","",_xlfn.xlookup($D31,$R:$R,$W:$W,""))</f>
        <v>#NAME?</v>
      </c>
      <c r="N31" s="12" t="e">
        <f aca="false">IF($D31="","",_xlfn.xlookup($D31,$R:$R,$X:$X,""))</f>
        <v>#NAME?</v>
      </c>
      <c r="O31" s="12" t="e">
        <f aca="false">IF($D31="","",_xlfn.xlookup($D31,$R:$R,$Y:$Y,""))</f>
        <v>#NAME?</v>
      </c>
      <c r="P31" s="12" t="e">
        <f aca="false">IF($D31="","",_xlfn.xlookup($D31,$R:$R,$Z:$Z,""))</f>
        <v>#NAME?</v>
      </c>
      <c r="Q31" s="12"/>
      <c r="R31" s="11" t="s">
        <v>114</v>
      </c>
      <c r="S31" s="11" t="n">
        <v>21.1176493378203</v>
      </c>
      <c r="T31" s="11" t="n">
        <v>0.123779988860186</v>
      </c>
      <c r="U31" s="11" t="n">
        <v>420.829617490006</v>
      </c>
      <c r="V31" s="11" t="n">
        <v>1.30784355560585</v>
      </c>
      <c r="W31" s="11" t="n">
        <v>17.6747224908947</v>
      </c>
      <c r="X31" s="11" t="n">
        <v>0.074853792454518</v>
      </c>
      <c r="Y31" s="11" t="n">
        <v>0.29904231607721</v>
      </c>
      <c r="Z31" s="11" t="n">
        <v>0.00070736589897135</v>
      </c>
    </row>
    <row r="32" customFormat="false" ht="15" hidden="false" customHeight="false" outlineLevel="0" collapsed="false">
      <c r="B32" s="12" t="s">
        <v>115</v>
      </c>
      <c r="C32" s="5" t="s">
        <v>63</v>
      </c>
      <c r="D32" s="13" t="s">
        <v>116</v>
      </c>
      <c r="E32" s="14" t="n">
        <v>1</v>
      </c>
      <c r="F32" s="15" t="n">
        <v>1.239</v>
      </c>
      <c r="G32" s="16" t="n">
        <v>45687</v>
      </c>
      <c r="H32" s="12"/>
      <c r="I32" s="12" t="e">
        <f aca="false">IF($D32="","",_xlfn.xlookup($D32,$R:$R,$S:$S,""))</f>
        <v>#NAME?</v>
      </c>
      <c r="J32" s="12" t="e">
        <f aca="false">IF($D32="","",_xlfn.xlookup($D32,$R:$R,$T:$T,""))</f>
        <v>#NAME?</v>
      </c>
      <c r="K32" s="12" t="e">
        <f aca="false">IF($D32="","",_xlfn.xlookup($D32,$R:$R,$U:$U,""))</f>
        <v>#NAME?</v>
      </c>
      <c r="L32" s="12" t="e">
        <f aca="false">IF($D32="","",_xlfn.xlookup($D32,$R:$R,$V:$V,""))</f>
        <v>#NAME?</v>
      </c>
      <c r="M32" s="12" t="e">
        <f aca="false">IF($D32="","",_xlfn.xlookup($D32,$R:$R,$W:$W,""))</f>
        <v>#NAME?</v>
      </c>
      <c r="N32" s="12" t="e">
        <f aca="false">IF($D32="","",_xlfn.xlookup($D32,$R:$R,$X:$X,""))</f>
        <v>#NAME?</v>
      </c>
      <c r="O32" s="12" t="e">
        <f aca="false">IF($D32="","",_xlfn.xlookup($D32,$R:$R,$Y:$Y,""))</f>
        <v>#NAME?</v>
      </c>
      <c r="P32" s="12" t="e">
        <f aca="false">IF($D32="","",_xlfn.xlookup($D32,$R:$R,$Z:$Z,""))</f>
        <v>#NAME?</v>
      </c>
      <c r="Q32" s="12"/>
      <c r="R32" s="11" t="s">
        <v>117</v>
      </c>
      <c r="S32" s="11" t="n">
        <v>57.2519706492533</v>
      </c>
      <c r="T32" s="11" t="n">
        <v>0.219959453571922</v>
      </c>
      <c r="U32" s="11" t="n">
        <v>627.130146002919</v>
      </c>
      <c r="V32" s="11" t="n">
        <v>2.02662071963056</v>
      </c>
      <c r="W32" s="11" t="n">
        <v>34.5208426345727</v>
      </c>
      <c r="X32" s="11" t="n">
        <v>0.133016648633564</v>
      </c>
      <c r="Y32" s="11" t="n">
        <v>0.572487497338014</v>
      </c>
      <c r="Z32" s="11" t="n">
        <v>0.00119844478600325</v>
      </c>
    </row>
    <row r="33" customFormat="false" ht="15" hidden="false" customHeight="false" outlineLevel="0" collapsed="false">
      <c r="B33" s="12" t="s">
        <v>118</v>
      </c>
      <c r="C33" s="5" t="s">
        <v>63</v>
      </c>
      <c r="D33" s="13" t="s">
        <v>119</v>
      </c>
      <c r="E33" s="14" t="n">
        <v>1</v>
      </c>
      <c r="F33" s="15" t="n">
        <v>1.298</v>
      </c>
      <c r="G33" s="16" t="n">
        <v>45687</v>
      </c>
      <c r="H33" s="12"/>
      <c r="I33" s="12" t="e">
        <f aca="false">IF($D33="","",_xlfn.xlookup($D33,$R:$R,$S:$S,""))</f>
        <v>#NAME?</v>
      </c>
      <c r="J33" s="12" t="e">
        <f aca="false">IF($D33="","",_xlfn.xlookup($D33,$R:$R,$T:$T,""))</f>
        <v>#NAME?</v>
      </c>
      <c r="K33" s="12" t="e">
        <f aca="false">IF($D33="","",_xlfn.xlookup($D33,$R:$R,$U:$U,""))</f>
        <v>#NAME?</v>
      </c>
      <c r="L33" s="12" t="e">
        <f aca="false">IF($D33="","",_xlfn.xlookup($D33,$R:$R,$V:$V,""))</f>
        <v>#NAME?</v>
      </c>
      <c r="M33" s="12" t="e">
        <f aca="false">IF($D33="","",_xlfn.xlookup($D33,$R:$R,$W:$W,""))</f>
        <v>#NAME?</v>
      </c>
      <c r="N33" s="12" t="e">
        <f aca="false">IF($D33="","",_xlfn.xlookup($D33,$R:$R,$X:$X,""))</f>
        <v>#NAME?</v>
      </c>
      <c r="O33" s="12" t="e">
        <f aca="false">IF($D33="","",_xlfn.xlookup($D33,$R:$R,$Y:$Y,""))</f>
        <v>#NAME?</v>
      </c>
      <c r="P33" s="12" t="e">
        <f aca="false">IF($D33="","",_xlfn.xlookup($D33,$R:$R,$Z:$Z,""))</f>
        <v>#NAME?</v>
      </c>
      <c r="Q33" s="12"/>
      <c r="R33" s="11" t="s">
        <v>120</v>
      </c>
      <c r="S33" s="11" t="n">
        <v>75.1221725780336</v>
      </c>
      <c r="T33" s="11" t="n">
        <v>0.164572053845347</v>
      </c>
      <c r="U33" s="11" t="n">
        <v>225.850011630854</v>
      </c>
      <c r="V33" s="11" t="n">
        <v>1.74806201137718</v>
      </c>
      <c r="W33" s="11" t="n">
        <v>51.3408335487384</v>
      </c>
      <c r="X33" s="11" t="n">
        <v>0.0995220833011059</v>
      </c>
      <c r="Y33" s="11" t="n">
        <v>0.582394746880755</v>
      </c>
      <c r="Z33" s="11" t="n">
        <v>0.000942376548109492</v>
      </c>
    </row>
    <row r="34" customFormat="false" ht="15" hidden="false" customHeight="false" outlineLevel="0" collapsed="false">
      <c r="B34" s="12" t="s">
        <v>121</v>
      </c>
      <c r="C34" s="5" t="s">
        <v>63</v>
      </c>
      <c r="D34" s="13" t="s">
        <v>122</v>
      </c>
      <c r="E34" s="14" t="n">
        <v>1</v>
      </c>
      <c r="F34" s="20" t="n">
        <v>1.23</v>
      </c>
      <c r="G34" s="16" t="n">
        <v>45687</v>
      </c>
      <c r="H34" s="12"/>
      <c r="I34" s="12" t="e">
        <f aca="false">IF($D34="","",_xlfn.xlookup($D34,$R:$R,$S:$S,""))</f>
        <v>#NAME?</v>
      </c>
      <c r="J34" s="12" t="e">
        <f aca="false">IF($D34="","",_xlfn.xlookup($D34,$R:$R,$T:$T,""))</f>
        <v>#NAME?</v>
      </c>
      <c r="K34" s="12" t="e">
        <f aca="false">IF($D34="","",_xlfn.xlookup($D34,$R:$R,$U:$U,""))</f>
        <v>#NAME?</v>
      </c>
      <c r="L34" s="12" t="e">
        <f aca="false">IF($D34="","",_xlfn.xlookup($D34,$R:$R,$V:$V,""))</f>
        <v>#NAME?</v>
      </c>
      <c r="M34" s="12" t="e">
        <f aca="false">IF($D34="","",_xlfn.xlookup($D34,$R:$R,$W:$W,""))</f>
        <v>#NAME?</v>
      </c>
      <c r="N34" s="12" t="e">
        <f aca="false">IF($D34="","",_xlfn.xlookup($D34,$R:$R,$X:$X,""))</f>
        <v>#NAME?</v>
      </c>
      <c r="O34" s="12" t="e">
        <f aca="false">IF($D34="","",_xlfn.xlookup($D34,$R:$R,$Y:$Y,""))</f>
        <v>#NAME?</v>
      </c>
      <c r="P34" s="12" t="e">
        <f aca="false">IF($D34="","",_xlfn.xlookup($D34,$R:$R,$Z:$Z,""))</f>
        <v>#NAME?</v>
      </c>
      <c r="Q34" s="12"/>
      <c r="R34" s="11" t="s">
        <v>123</v>
      </c>
      <c r="S34" s="11" t="n">
        <v>101.2179097429</v>
      </c>
      <c r="T34" s="11" t="n">
        <v>0.206636698372749</v>
      </c>
      <c r="U34" s="11" t="n">
        <v>210.698486460185</v>
      </c>
      <c r="V34" s="11" t="n">
        <v>1.8539884767119</v>
      </c>
      <c r="W34" s="11" t="n">
        <v>62.8523177383439</v>
      </c>
      <c r="X34" s="11" t="n">
        <v>0.124959944462039</v>
      </c>
      <c r="Y34" s="11" t="n">
        <v>0.721887449988113</v>
      </c>
      <c r="Z34" s="11" t="n">
        <v>0.00111656805635292</v>
      </c>
    </row>
    <row r="35" customFormat="false" ht="15" hidden="false" customHeight="false" outlineLevel="0" collapsed="false">
      <c r="B35" s="12" t="s">
        <v>124</v>
      </c>
      <c r="C35" s="5" t="s">
        <v>63</v>
      </c>
      <c r="D35" s="13" t="s">
        <v>125</v>
      </c>
      <c r="E35" s="14" t="n">
        <v>1</v>
      </c>
      <c r="F35" s="15" t="n">
        <v>1.304</v>
      </c>
      <c r="G35" s="16" t="n">
        <v>45687</v>
      </c>
      <c r="H35" s="12"/>
      <c r="I35" s="12" t="e">
        <f aca="false">IF($D35="","",_xlfn.xlookup($D35,$R:$R,$S:$S,""))</f>
        <v>#NAME?</v>
      </c>
      <c r="J35" s="12" t="e">
        <f aca="false">IF($D35="","",_xlfn.xlookup($D35,$R:$R,$T:$T,""))</f>
        <v>#NAME?</v>
      </c>
      <c r="K35" s="12" t="e">
        <f aca="false">IF($D35="","",_xlfn.xlookup($D35,$R:$R,$U:$U,""))</f>
        <v>#NAME?</v>
      </c>
      <c r="L35" s="12" t="e">
        <f aca="false">IF($D35="","",_xlfn.xlookup($D35,$R:$R,$V:$V,""))</f>
        <v>#NAME?</v>
      </c>
      <c r="M35" s="12" t="e">
        <f aca="false">IF($D35="","",_xlfn.xlookup($D35,$R:$R,$W:$W,""))</f>
        <v>#NAME?</v>
      </c>
      <c r="N35" s="12" t="e">
        <f aca="false">IF($D35="","",_xlfn.xlookup($D35,$R:$R,$X:$X,""))</f>
        <v>#NAME?</v>
      </c>
      <c r="O35" s="12" t="e">
        <f aca="false">IF($D35="","",_xlfn.xlookup($D35,$R:$R,$Y:$Y,""))</f>
        <v>#NAME?</v>
      </c>
      <c r="P35" s="12" t="e">
        <f aca="false">IF($D35="","",_xlfn.xlookup($D35,$R:$R,$Z:$Z,""))</f>
        <v>#NAME?</v>
      </c>
      <c r="Q35" s="12"/>
      <c r="R35" s="11" t="s">
        <v>126</v>
      </c>
      <c r="S35" s="11" t="n">
        <v>184.652382611523</v>
      </c>
      <c r="T35" s="11" t="n">
        <v>0.899980641422528</v>
      </c>
      <c r="U35" s="11" t="n">
        <v>1902.66489566793</v>
      </c>
      <c r="V35" s="11" t="n">
        <v>4.80330308206094</v>
      </c>
      <c r="W35" s="11" t="n">
        <v>192.229932616672</v>
      </c>
      <c r="X35" s="11" t="n">
        <v>0.544247618427398</v>
      </c>
      <c r="Y35" s="11" t="n">
        <v>2.21087923701108</v>
      </c>
      <c r="Z35" s="11" t="n">
        <v>0.00435525821123212</v>
      </c>
    </row>
    <row r="36" customFormat="false" ht="15" hidden="false" customHeight="false" outlineLevel="0" collapsed="false">
      <c r="B36" s="12" t="s">
        <v>127</v>
      </c>
      <c r="C36" s="5" t="s">
        <v>63</v>
      </c>
      <c r="D36" s="13" t="s">
        <v>128</v>
      </c>
      <c r="E36" s="14" t="n">
        <v>1</v>
      </c>
      <c r="F36" s="15" t="n">
        <v>1.313</v>
      </c>
      <c r="G36" s="16" t="n">
        <v>45687</v>
      </c>
      <c r="H36" s="12"/>
      <c r="I36" s="12" t="e">
        <f aca="false">IF($D36="","",_xlfn.xlookup($D36,$R:$R,$S:$S,""))</f>
        <v>#NAME?</v>
      </c>
      <c r="J36" s="12" t="e">
        <f aca="false">IF($D36="","",_xlfn.xlookup($D36,$R:$R,$T:$T,""))</f>
        <v>#NAME?</v>
      </c>
      <c r="K36" s="12" t="e">
        <f aca="false">IF($D36="","",_xlfn.xlookup($D36,$R:$R,$U:$U,""))</f>
        <v>#NAME?</v>
      </c>
      <c r="L36" s="12" t="e">
        <f aca="false">IF($D36="","",_xlfn.xlookup($D36,$R:$R,$V:$V,""))</f>
        <v>#NAME?</v>
      </c>
      <c r="M36" s="12" t="e">
        <f aca="false">IF($D36="","",_xlfn.xlookup($D36,$R:$R,$W:$W,""))</f>
        <v>#NAME?</v>
      </c>
      <c r="N36" s="12" t="e">
        <f aca="false">IF($D36="","",_xlfn.xlookup($D36,$R:$R,$X:$X,""))</f>
        <v>#NAME?</v>
      </c>
      <c r="O36" s="12" t="e">
        <f aca="false">IF($D36="","",_xlfn.xlookup($D36,$R:$R,$Y:$Y,""))</f>
        <v>#NAME?</v>
      </c>
      <c r="P36" s="12" t="e">
        <f aca="false">IF($D36="","",_xlfn.xlookup($D36,$R:$R,$Z:$Z,""))</f>
        <v>#NAME?</v>
      </c>
      <c r="Q36" s="12"/>
      <c r="R36" s="11" t="s">
        <v>129</v>
      </c>
      <c r="S36" s="11" t="n">
        <v>51.9792426113689</v>
      </c>
      <c r="T36" s="11" t="n">
        <v>0.290243917909188</v>
      </c>
      <c r="U36" s="11" t="n">
        <v>948.473584048021</v>
      </c>
      <c r="V36" s="11" t="n">
        <v>2.50227554689434</v>
      </c>
      <c r="W36" s="11" t="n">
        <v>40.3086565705498</v>
      </c>
      <c r="X36" s="11" t="n">
        <v>0.175519954335274</v>
      </c>
      <c r="Y36" s="11" t="n">
        <v>0.690965286239985</v>
      </c>
      <c r="Z36" s="11" t="n">
        <v>0.00154980888908316</v>
      </c>
    </row>
    <row r="37" customFormat="false" ht="15" hidden="false" customHeight="false" outlineLevel="0" collapsed="false">
      <c r="B37" s="12" t="s">
        <v>130</v>
      </c>
      <c r="C37" s="5" t="s">
        <v>131</v>
      </c>
      <c r="D37" s="13" t="s">
        <v>132</v>
      </c>
      <c r="E37" s="14" t="n">
        <v>1</v>
      </c>
      <c r="F37" s="15" t="n">
        <v>1.719</v>
      </c>
      <c r="G37" s="16" t="n">
        <v>45636</v>
      </c>
      <c r="H37" s="12"/>
      <c r="I37" s="12" t="e">
        <f aca="false">IF($D37="","",_xlfn.xlookup($D37,$R:$R,$S:$S,""))</f>
        <v>#NAME?</v>
      </c>
      <c r="J37" s="12" t="e">
        <f aca="false">IF($D37="","",_xlfn.xlookup($D37,$R:$R,$T:$T,""))</f>
        <v>#NAME?</v>
      </c>
      <c r="K37" s="12" t="e">
        <f aca="false">IF($D37="","",_xlfn.xlookup($D37,$R:$R,$U:$U,""))</f>
        <v>#NAME?</v>
      </c>
      <c r="L37" s="12" t="e">
        <f aca="false">IF($D37="","",_xlfn.xlookup($D37,$R:$R,$V:$V,""))</f>
        <v>#NAME?</v>
      </c>
      <c r="M37" s="12" t="e">
        <f aca="false">IF($D37="","",_xlfn.xlookup($D37,$R:$R,$W:$W,""))</f>
        <v>#NAME?</v>
      </c>
      <c r="N37" s="12" t="e">
        <f aca="false">IF($D37="","",_xlfn.xlookup($D37,$R:$R,$X:$X,""))</f>
        <v>#NAME?</v>
      </c>
      <c r="O37" s="12" t="e">
        <f aca="false">IF($D37="","",_xlfn.xlookup($D37,$R:$R,$Y:$Y,""))</f>
        <v>#NAME?</v>
      </c>
      <c r="P37" s="12" t="e">
        <f aca="false">IF($D37="","",_xlfn.xlookup($D37,$R:$R,$Z:$Z,""))</f>
        <v>#NAME?</v>
      </c>
      <c r="Q37" s="12"/>
      <c r="R37" s="11" t="s">
        <v>133</v>
      </c>
      <c r="S37" s="11" t="n">
        <v>189.832445238007</v>
      </c>
      <c r="T37" s="11" t="n">
        <v>1.33508292272042</v>
      </c>
      <c r="U37" s="11" t="n">
        <v>2401.65191435247</v>
      </c>
      <c r="V37" s="11" t="n">
        <v>5.97979599126977</v>
      </c>
      <c r="W37" s="11" t="n">
        <v>319.793122650064</v>
      </c>
      <c r="X37" s="11" t="n">
        <v>0.807368145102738</v>
      </c>
      <c r="Y37" s="11" t="n">
        <v>3.03229106882784</v>
      </c>
      <c r="Z37" s="11" t="n">
        <v>0.00633041466554451</v>
      </c>
    </row>
    <row r="38" customFormat="false" ht="15" hidden="false" customHeight="false" outlineLevel="0" collapsed="false">
      <c r="B38" s="12" t="s">
        <v>134</v>
      </c>
      <c r="C38" s="5" t="s">
        <v>135</v>
      </c>
      <c r="D38" s="13" t="s">
        <v>136</v>
      </c>
      <c r="E38" s="14" t="n">
        <v>1</v>
      </c>
      <c r="F38" s="15" t="n">
        <v>1.662</v>
      </c>
      <c r="G38" s="16" t="n">
        <v>45642</v>
      </c>
      <c r="H38" s="12"/>
      <c r="I38" s="12" t="e">
        <f aca="false">IF($D38="","",_xlfn.xlookup($D38,$R:$R,$S:$S,""))</f>
        <v>#NAME?</v>
      </c>
      <c r="J38" s="12" t="e">
        <f aca="false">IF($D38="","",_xlfn.xlookup($D38,$R:$R,$T:$T,""))</f>
        <v>#NAME?</v>
      </c>
      <c r="K38" s="12" t="e">
        <f aca="false">IF($D38="","",_xlfn.xlookup($D38,$R:$R,$U:$U,""))</f>
        <v>#NAME?</v>
      </c>
      <c r="L38" s="12" t="e">
        <f aca="false">IF($D38="","",_xlfn.xlookup($D38,$R:$R,$V:$V,""))</f>
        <v>#NAME?</v>
      </c>
      <c r="M38" s="12" t="e">
        <f aca="false">IF($D38="","",_xlfn.xlookup($D38,$R:$R,$W:$W,""))</f>
        <v>#NAME?</v>
      </c>
      <c r="N38" s="12" t="e">
        <f aca="false">IF($D38="","",_xlfn.xlookup($D38,$R:$R,$X:$X,""))</f>
        <v>#NAME?</v>
      </c>
      <c r="O38" s="12" t="e">
        <f aca="false">IF($D38="","",_xlfn.xlookup($D38,$R:$R,$Y:$Y,""))</f>
        <v>#NAME?</v>
      </c>
      <c r="P38" s="12" t="e">
        <f aca="false">IF($D38="","",_xlfn.xlookup($D38,$R:$R,$Z:$Z,""))</f>
        <v>#NAME?</v>
      </c>
      <c r="Q38" s="12"/>
      <c r="R38" s="11" t="s">
        <v>137</v>
      </c>
      <c r="S38" s="11" t="n">
        <v>7.36914621567162</v>
      </c>
      <c r="T38" s="11" t="n">
        <v>0.0526831702973067</v>
      </c>
      <c r="U38" s="11" t="n">
        <v>188.889636637456</v>
      </c>
      <c r="V38" s="11" t="n">
        <v>0.801496017078514</v>
      </c>
      <c r="W38" s="11" t="n">
        <v>7.24551284305042</v>
      </c>
      <c r="X38" s="11" t="n">
        <v>0.0318592296832002</v>
      </c>
      <c r="Y38" s="11" t="n">
        <v>0.123754597146643</v>
      </c>
      <c r="Z38" s="11" t="n">
        <v>0.000357199737892118</v>
      </c>
    </row>
    <row r="39" customFormat="false" ht="15" hidden="false" customHeight="false" outlineLevel="0" collapsed="false">
      <c r="B39" s="12" t="s">
        <v>138</v>
      </c>
      <c r="C39" s="5" t="s">
        <v>139</v>
      </c>
      <c r="D39" s="13" t="s">
        <v>140</v>
      </c>
      <c r="E39" s="14" t="n">
        <v>1</v>
      </c>
      <c r="F39" s="20" t="n">
        <v>1.47</v>
      </c>
      <c r="G39" s="16" t="n">
        <v>45692</v>
      </c>
      <c r="H39" s="12"/>
      <c r="I39" s="12" t="e">
        <f aca="false">IF($D39="","",_xlfn.xlookup($D39,$R:$R,$S:$S,""))</f>
        <v>#NAME?</v>
      </c>
      <c r="J39" s="12" t="e">
        <f aca="false">IF($D39="","",_xlfn.xlookup($D39,$R:$R,$T:$T,""))</f>
        <v>#NAME?</v>
      </c>
      <c r="K39" s="12" t="e">
        <f aca="false">IF($D39="","",_xlfn.xlookup($D39,$R:$R,$U:$U,""))</f>
        <v>#NAME?</v>
      </c>
      <c r="L39" s="12" t="e">
        <f aca="false">IF($D39="","",_xlfn.xlookup($D39,$R:$R,$V:$V,""))</f>
        <v>#NAME?</v>
      </c>
      <c r="M39" s="12" t="e">
        <f aca="false">IF($D39="","",_xlfn.xlookup($D39,$R:$R,$W:$W,""))</f>
        <v>#NAME?</v>
      </c>
      <c r="N39" s="12" t="e">
        <f aca="false">IF($D39="","",_xlfn.xlookup($D39,$R:$R,$X:$X,""))</f>
        <v>#NAME?</v>
      </c>
      <c r="O39" s="12" t="e">
        <f aca="false">IF($D39="","",_xlfn.xlookup($D39,$R:$R,$Y:$Y,""))</f>
        <v>#NAME?</v>
      </c>
      <c r="P39" s="12" t="e">
        <f aca="false">IF($D39="","",_xlfn.xlookup($D39,$R:$R,$Z:$Z,""))</f>
        <v>#NAME?</v>
      </c>
      <c r="Q39" s="12"/>
      <c r="R39" s="11" t="s">
        <v>141</v>
      </c>
      <c r="S39" s="11" t="n">
        <v>164.402387847424</v>
      </c>
      <c r="T39" s="11" t="n">
        <v>0.668040270932562</v>
      </c>
      <c r="U39" s="11" t="n">
        <v>2077.9010620459</v>
      </c>
      <c r="V39" s="11" t="n">
        <v>4.92476826386059</v>
      </c>
      <c r="W39" s="11" t="n">
        <v>152.265472587761</v>
      </c>
      <c r="X39" s="11" t="n">
        <v>0.403985718952754</v>
      </c>
      <c r="Y39" s="11" t="n">
        <v>2.00196900977885</v>
      </c>
      <c r="Z39" s="11" t="n">
        <v>0.00342542984428382</v>
      </c>
    </row>
    <row r="40" customFormat="false" ht="15" hidden="false" customHeight="false" outlineLevel="0" collapsed="false">
      <c r="B40" s="12" t="s">
        <v>142</v>
      </c>
      <c r="C40" s="5" t="s">
        <v>88</v>
      </c>
      <c r="D40" s="13" t="s">
        <v>143</v>
      </c>
      <c r="E40" s="14" t="n">
        <v>1</v>
      </c>
      <c r="F40" s="20" t="n">
        <v>0.81</v>
      </c>
      <c r="G40" s="16" t="n">
        <v>45709</v>
      </c>
      <c r="H40" s="12"/>
      <c r="I40" s="12" t="e">
        <f aca="false">IF($D40="","",_xlfn.xlookup($D40,$R:$R,$S:$S,""))</f>
        <v>#NAME?</v>
      </c>
      <c r="J40" s="12" t="e">
        <f aca="false">IF($D40="","",_xlfn.xlookup($D40,$R:$R,$T:$T,""))</f>
        <v>#NAME?</v>
      </c>
      <c r="K40" s="12" t="e">
        <f aca="false">IF($D40="","",_xlfn.xlookup($D40,$R:$R,$U:$U,""))</f>
        <v>#NAME?</v>
      </c>
      <c r="L40" s="12" t="e">
        <f aca="false">IF($D40="","",_xlfn.xlookup($D40,$R:$R,$V:$V,""))</f>
        <v>#NAME?</v>
      </c>
      <c r="M40" s="12" t="e">
        <f aca="false">IF($D40="","",_xlfn.xlookup($D40,$R:$R,$W:$W,""))</f>
        <v>#NAME?</v>
      </c>
      <c r="N40" s="12" t="e">
        <f aca="false">IF($D40="","",_xlfn.xlookup($D40,$R:$R,$X:$X,""))</f>
        <v>#NAME?</v>
      </c>
      <c r="O40" s="12" t="e">
        <f aca="false">IF($D40="","",_xlfn.xlookup($D40,$R:$R,$Y:$Y,""))</f>
        <v>#NAME?</v>
      </c>
      <c r="P40" s="12" t="e">
        <f aca="false">IF($D40="","",_xlfn.xlookup($D40,$R:$R,$Z:$Z,""))</f>
        <v>#NAME?</v>
      </c>
      <c r="Q40" s="12"/>
      <c r="R40" s="11" t="s">
        <v>144</v>
      </c>
      <c r="S40" s="11" t="n">
        <v>11.5256238907457</v>
      </c>
      <c r="T40" s="11" t="n">
        <v>0.0714897952569005</v>
      </c>
      <c r="U40" s="11" t="n">
        <v>244.074054070843</v>
      </c>
      <c r="V40" s="11" t="n">
        <v>0.955088142354999</v>
      </c>
      <c r="W40" s="11" t="n">
        <v>9.25822925286731</v>
      </c>
      <c r="X40" s="11" t="n">
        <v>0.0432322085827662</v>
      </c>
      <c r="Y40" s="11" t="n">
        <v>0.166067910590436</v>
      </c>
      <c r="Z40" s="11" t="n">
        <v>0.000452622335889773</v>
      </c>
    </row>
    <row r="41" customFormat="false" ht="15" hidden="false" customHeight="false" outlineLevel="0" collapsed="false">
      <c r="B41" s="12" t="s">
        <v>145</v>
      </c>
      <c r="C41" s="5" t="s">
        <v>146</v>
      </c>
      <c r="D41" s="13" t="s">
        <v>147</v>
      </c>
      <c r="E41" s="14" t="n">
        <v>1</v>
      </c>
      <c r="F41" s="15" t="n">
        <v>1.832</v>
      </c>
      <c r="G41" s="16" t="n">
        <v>45539</v>
      </c>
      <c r="H41" s="12"/>
      <c r="I41" s="12" t="e">
        <f aca="false">IF($D41="","",_xlfn.xlookup($D41,$R:$R,$S:$S,""))</f>
        <v>#NAME?</v>
      </c>
      <c r="J41" s="12" t="e">
        <f aca="false">IF($D41="","",_xlfn.xlookup($D41,$R:$R,$T:$T,""))</f>
        <v>#NAME?</v>
      </c>
      <c r="K41" s="12" t="e">
        <f aca="false">IF($D41="","",_xlfn.xlookup($D41,$R:$R,$U:$U,""))</f>
        <v>#NAME?</v>
      </c>
      <c r="L41" s="12" t="e">
        <f aca="false">IF($D41="","",_xlfn.xlookup($D41,$R:$R,$V:$V,""))</f>
        <v>#NAME?</v>
      </c>
      <c r="M41" s="12" t="e">
        <f aca="false">IF($D41="","",_xlfn.xlookup($D41,$R:$R,$W:$W,""))</f>
        <v>#NAME?</v>
      </c>
      <c r="N41" s="12" t="e">
        <f aca="false">IF($D41="","",_xlfn.xlookup($D41,$R:$R,$X:$X,""))</f>
        <v>#NAME?</v>
      </c>
      <c r="O41" s="12" t="e">
        <f aca="false">IF($D41="","",_xlfn.xlookup($D41,$R:$R,$Y:$Y,""))</f>
        <v>#NAME?</v>
      </c>
      <c r="P41" s="12" t="e">
        <f aca="false">IF($D41="","",_xlfn.xlookup($D41,$R:$R,$Z:$Z,""))</f>
        <v>#NAME?</v>
      </c>
      <c r="Q41" s="12"/>
      <c r="R41" s="11" t="s">
        <v>148</v>
      </c>
      <c r="S41" s="11" t="n">
        <v>17.8172884744068</v>
      </c>
      <c r="T41" s="11" t="n">
        <v>0.136618370069115</v>
      </c>
      <c r="U41" s="11" t="n">
        <v>550.605780785231</v>
      </c>
      <c r="V41" s="11" t="n">
        <v>1.39380602101532</v>
      </c>
      <c r="W41" s="11" t="n">
        <v>22.3347198870841</v>
      </c>
      <c r="X41" s="11" t="n">
        <v>0.0826175798915215</v>
      </c>
      <c r="Y41" s="11" t="n">
        <v>0.35459982127852</v>
      </c>
      <c r="Z41" s="11" t="n">
        <v>0.000770636651834587</v>
      </c>
    </row>
    <row r="42" customFormat="false" ht="15" hidden="false" customHeight="false" outlineLevel="0" collapsed="false">
      <c r="B42" s="12" t="s">
        <v>149</v>
      </c>
      <c r="C42" s="5" t="s">
        <v>99</v>
      </c>
      <c r="D42" s="13" t="s">
        <v>150</v>
      </c>
      <c r="E42" s="14" t="n">
        <v>1</v>
      </c>
      <c r="F42" s="15" t="n">
        <v>1.501</v>
      </c>
      <c r="G42" s="16" t="n">
        <v>45729</v>
      </c>
      <c r="H42" s="12"/>
      <c r="I42" s="12" t="e">
        <f aca="false">IF($D42="","",_xlfn.xlookup($D42,$R:$R,$S:$S,""))</f>
        <v>#NAME?</v>
      </c>
      <c r="J42" s="12" t="e">
        <f aca="false">IF($D42="","",_xlfn.xlookup($D42,$R:$R,$T:$T,""))</f>
        <v>#NAME?</v>
      </c>
      <c r="K42" s="12" t="e">
        <f aca="false">IF($D42="","",_xlfn.xlookup($D42,$R:$R,$U:$U,""))</f>
        <v>#NAME?</v>
      </c>
      <c r="L42" s="12" t="e">
        <f aca="false">IF($D42="","",_xlfn.xlookup($D42,$R:$R,$V:$V,""))</f>
        <v>#NAME?</v>
      </c>
      <c r="M42" s="12" t="e">
        <f aca="false">IF($D42="","",_xlfn.xlookup($D42,$R:$R,$W:$W,""))</f>
        <v>#NAME?</v>
      </c>
      <c r="N42" s="12" t="e">
        <f aca="false">IF($D42="","",_xlfn.xlookup($D42,$R:$R,$X:$X,""))</f>
        <v>#NAME?</v>
      </c>
      <c r="O42" s="12" t="e">
        <f aca="false">IF($D42="","",_xlfn.xlookup($D42,$R:$R,$Y:$Y,""))</f>
        <v>#NAME?</v>
      </c>
      <c r="P42" s="12" t="e">
        <f aca="false">IF($D42="","",_xlfn.xlookup($D42,$R:$R,$Z:$Z,""))</f>
        <v>#NAME?</v>
      </c>
      <c r="Q42" s="12"/>
      <c r="R42" s="11" t="s">
        <v>151</v>
      </c>
      <c r="S42" s="11" t="n">
        <v>15.0222746585967</v>
      </c>
      <c r="T42" s="11" t="n">
        <v>0.103042960466237</v>
      </c>
      <c r="U42" s="11" t="n">
        <v>383.553542833448</v>
      </c>
      <c r="V42" s="11" t="n">
        <v>0.850273257615576</v>
      </c>
      <c r="W42" s="11" t="n">
        <v>15.9543662789559</v>
      </c>
      <c r="X42" s="11" t="n">
        <v>0.0623134356988118</v>
      </c>
      <c r="Y42" s="11" t="n">
        <v>0.257697261201251</v>
      </c>
      <c r="Z42" s="11" t="n">
        <v>0.000543488397424309</v>
      </c>
    </row>
    <row r="43" customFormat="false" ht="15" hidden="false" customHeight="false" outlineLevel="0" collapsed="false">
      <c r="B43" s="12" t="s">
        <v>152</v>
      </c>
      <c r="C43" s="5" t="s">
        <v>88</v>
      </c>
      <c r="D43" s="13" t="s">
        <v>153</v>
      </c>
      <c r="E43" s="14" t="n">
        <v>1</v>
      </c>
      <c r="F43" s="15" t="n">
        <v>0.996</v>
      </c>
      <c r="G43" s="16" t="n">
        <v>45740</v>
      </c>
      <c r="H43" s="12"/>
      <c r="I43" s="12" t="e">
        <f aca="false">IF($D43="","",_xlfn.xlookup($D43,$R:$R,$S:$S,""))</f>
        <v>#NAME?</v>
      </c>
      <c r="J43" s="12" t="e">
        <f aca="false">IF($D43="","",_xlfn.xlookup($D43,$R:$R,$T:$T,""))</f>
        <v>#NAME?</v>
      </c>
      <c r="K43" s="12" t="e">
        <f aca="false">IF($D43="","",_xlfn.xlookup($D43,$R:$R,$U:$U,""))</f>
        <v>#NAME?</v>
      </c>
      <c r="L43" s="12" t="e">
        <f aca="false">IF($D43="","",_xlfn.xlookup($D43,$R:$R,$V:$V,""))</f>
        <v>#NAME?</v>
      </c>
      <c r="M43" s="12" t="e">
        <f aca="false">IF($D43="","",_xlfn.xlookup($D43,$R:$R,$W:$W,""))</f>
        <v>#NAME?</v>
      </c>
      <c r="N43" s="12" t="e">
        <f aca="false">IF($D43="","",_xlfn.xlookup($D43,$R:$R,$X:$X,""))</f>
        <v>#NAME?</v>
      </c>
      <c r="O43" s="12" t="e">
        <f aca="false">IF($D43="","",_xlfn.xlookup($D43,$R:$R,$Y:$Y,""))</f>
        <v>#NAME?</v>
      </c>
      <c r="P43" s="12" t="e">
        <f aca="false">IF($D43="","",_xlfn.xlookup($D43,$R:$R,$Z:$Z,""))</f>
        <v>#NAME?</v>
      </c>
      <c r="Q43" s="12"/>
      <c r="R43" s="11" t="s">
        <v>154</v>
      </c>
      <c r="S43" s="11" t="n">
        <v>95.7478343913517</v>
      </c>
      <c r="T43" s="11" t="n">
        <v>0.557320873261049</v>
      </c>
      <c r="U43" s="11" t="n">
        <v>1242.24842397915</v>
      </c>
      <c r="V43" s="11" t="n">
        <v>3.34074996466598</v>
      </c>
      <c r="W43" s="11" t="n">
        <v>79.4027810676263</v>
      </c>
      <c r="X43" s="11" t="n">
        <v>0.337030091550379</v>
      </c>
      <c r="Y43" s="11" t="n">
        <v>1.13025616130235</v>
      </c>
      <c r="Z43" s="11" t="n">
        <v>0.00274426380516432</v>
      </c>
    </row>
    <row r="44" customFormat="false" ht="15" hidden="false" customHeight="false" outlineLevel="0" collapsed="false">
      <c r="B44" s="12" t="s">
        <v>155</v>
      </c>
      <c r="C44" s="5" t="s">
        <v>156</v>
      </c>
      <c r="D44" s="13" t="s">
        <v>157</v>
      </c>
      <c r="E44" s="14" t="n">
        <v>1</v>
      </c>
      <c r="F44" s="15" t="n">
        <v>1.496</v>
      </c>
      <c r="G44" s="16" t="n">
        <v>45797</v>
      </c>
      <c r="H44" s="12"/>
      <c r="I44" s="12" t="e">
        <f aca="false">IF($D44="","",_xlfn.xlookup($D44,$R:$R,$S:$S,""))</f>
        <v>#NAME?</v>
      </c>
      <c r="J44" s="12" t="e">
        <f aca="false">IF($D44="","",_xlfn.xlookup($D44,$R:$R,$T:$T,""))</f>
        <v>#NAME?</v>
      </c>
      <c r="K44" s="12" t="e">
        <f aca="false">IF($D44="","",_xlfn.xlookup($D44,$R:$R,$U:$U,""))</f>
        <v>#NAME?</v>
      </c>
      <c r="L44" s="12" t="e">
        <f aca="false">IF($D44="","",_xlfn.xlookup($D44,$R:$R,$V:$V,""))</f>
        <v>#NAME?</v>
      </c>
      <c r="M44" s="12" t="e">
        <f aca="false">IF($D44="","",_xlfn.xlookup($D44,$R:$R,$W:$W,""))</f>
        <v>#NAME?</v>
      </c>
      <c r="N44" s="12" t="e">
        <f aca="false">IF($D44="","",_xlfn.xlookup($D44,$R:$R,$X:$X,""))</f>
        <v>#NAME?</v>
      </c>
      <c r="O44" s="12" t="e">
        <f aca="false">IF($D44="","",_xlfn.xlookup($D44,$R:$R,$Y:$Y,""))</f>
        <v>#NAME?</v>
      </c>
      <c r="P44" s="12" t="e">
        <f aca="false">IF($D44="","",_xlfn.xlookup($D44,$R:$R,$Z:$Z,""))</f>
        <v>#NAME?</v>
      </c>
      <c r="Q44" s="12"/>
      <c r="R44" s="11" t="s">
        <v>158</v>
      </c>
      <c r="S44" s="11" t="n">
        <v>19.1268779311845</v>
      </c>
      <c r="T44" s="11" t="n">
        <v>0.190529620719052</v>
      </c>
      <c r="U44" s="11" t="n">
        <v>1048.56789848104</v>
      </c>
      <c r="V44" s="11" t="n">
        <v>2.11972893137087</v>
      </c>
      <c r="W44" s="11" t="n">
        <v>28.7695171368438</v>
      </c>
      <c r="X44" s="11" t="n">
        <v>0.115219469779168</v>
      </c>
      <c r="Y44" s="11" t="n">
        <v>0.557126478281847</v>
      </c>
      <c r="Z44" s="11" t="n">
        <v>0.00111107544389652</v>
      </c>
    </row>
    <row r="45" customFormat="false" ht="15" hidden="false" customHeight="false" outlineLevel="0" collapsed="false">
      <c r="B45" s="12" t="s">
        <v>159</v>
      </c>
      <c r="C45" s="5" t="s">
        <v>160</v>
      </c>
      <c r="D45" s="13" t="s">
        <v>161</v>
      </c>
      <c r="E45" s="14" t="n">
        <v>1</v>
      </c>
      <c r="F45" s="15" t="n">
        <v>1.694</v>
      </c>
      <c r="G45" s="16" t="n">
        <v>45808</v>
      </c>
      <c r="H45" s="12"/>
      <c r="I45" s="12" t="e">
        <f aca="false">IF($D45="","",_xlfn.xlookup($D45,$R:$R,$S:$S,""))</f>
        <v>#NAME?</v>
      </c>
      <c r="J45" s="12" t="e">
        <f aca="false">IF($D45="","",_xlfn.xlookup($D45,$R:$R,$T:$T,""))</f>
        <v>#NAME?</v>
      </c>
      <c r="K45" s="12" t="e">
        <f aca="false">IF($D45="","",_xlfn.xlookup($D45,$R:$R,$U:$U,""))</f>
        <v>#NAME?</v>
      </c>
      <c r="L45" s="12" t="e">
        <f aca="false">IF($D45="","",_xlfn.xlookup($D45,$R:$R,$V:$V,""))</f>
        <v>#NAME?</v>
      </c>
      <c r="M45" s="12" t="e">
        <f aca="false">IF($D45="","",_xlfn.xlookup($D45,$R:$R,$W:$W,""))</f>
        <v>#NAME?</v>
      </c>
      <c r="N45" s="12" t="e">
        <f aca="false">IF($D45="","",_xlfn.xlookup($D45,$R:$R,$X:$X,""))</f>
        <v>#NAME?</v>
      </c>
      <c r="O45" s="12" t="e">
        <f aca="false">IF($D45="","",_xlfn.xlookup($D45,$R:$R,$Y:$Y,""))</f>
        <v>#NAME?</v>
      </c>
      <c r="P45" s="12" t="e">
        <f aca="false">IF($D45="","",_xlfn.xlookup($D45,$R:$R,$Z:$Z,""))</f>
        <v>#NAME?</v>
      </c>
      <c r="Q45" s="12"/>
      <c r="R45" s="11" t="s">
        <v>162</v>
      </c>
      <c r="S45" s="11" t="n">
        <v>15.2159573277482</v>
      </c>
      <c r="T45" s="11" t="n">
        <v>0.165315212424235</v>
      </c>
      <c r="U45" s="11" t="n">
        <v>878.913572011757</v>
      </c>
      <c r="V45" s="11" t="n">
        <v>1.90596321573953</v>
      </c>
      <c r="W45" s="11" t="n">
        <v>18.2107519365477</v>
      </c>
      <c r="X45" s="11" t="n">
        <v>0.0999714955084999</v>
      </c>
      <c r="Y45" s="11" t="n">
        <v>0.434744808112485</v>
      </c>
      <c r="Z45" s="11" t="n">
        <v>0.000978339023625445</v>
      </c>
    </row>
    <row r="46" customFormat="false" ht="15" hidden="false" customHeight="false" outlineLevel="0" collapsed="false">
      <c r="B46" s="12" t="s">
        <v>163</v>
      </c>
      <c r="C46" s="5" t="s">
        <v>164</v>
      </c>
      <c r="D46" s="13" t="s">
        <v>165</v>
      </c>
      <c r="E46" s="14" t="n">
        <v>1</v>
      </c>
      <c r="F46" s="15" t="n">
        <v>1.652</v>
      </c>
      <c r="G46" s="16" t="n">
        <v>45793</v>
      </c>
      <c r="H46" s="12"/>
      <c r="I46" s="12" t="e">
        <f aca="false">IF($D46="","",_xlfn.xlookup($D46,$R:$R,$S:$S,""))</f>
        <v>#NAME?</v>
      </c>
      <c r="J46" s="12" t="e">
        <f aca="false">IF($D46="","",_xlfn.xlookup($D46,$R:$R,$T:$T,""))</f>
        <v>#NAME?</v>
      </c>
      <c r="K46" s="12" t="e">
        <f aca="false">IF($D46="","",_xlfn.xlookup($D46,$R:$R,$U:$U,""))</f>
        <v>#NAME?</v>
      </c>
      <c r="L46" s="12" t="e">
        <f aca="false">IF($D46="","",_xlfn.xlookup($D46,$R:$R,$V:$V,""))</f>
        <v>#NAME?</v>
      </c>
      <c r="M46" s="12" t="e">
        <f aca="false">IF($D46="","",_xlfn.xlookup($D46,$R:$R,$W:$W,""))</f>
        <v>#NAME?</v>
      </c>
      <c r="N46" s="12" t="e">
        <f aca="false">IF($D46="","",_xlfn.xlookup($D46,$R:$R,$X:$X,""))</f>
        <v>#NAME?</v>
      </c>
      <c r="O46" s="12" t="e">
        <f aca="false">IF($D46="","",_xlfn.xlookup($D46,$R:$R,$Y:$Y,""))</f>
        <v>#NAME?</v>
      </c>
      <c r="P46" s="12" t="e">
        <f aca="false">IF($D46="","",_xlfn.xlookup($D46,$R:$R,$Z:$Z,""))</f>
        <v>#NAME?</v>
      </c>
      <c r="Q46" s="12"/>
      <c r="R46" s="11" t="s">
        <v>166</v>
      </c>
      <c r="S46" s="11" t="n">
        <v>75.4169540575142</v>
      </c>
      <c r="T46" s="11" t="n">
        <v>0.530706540354406</v>
      </c>
      <c r="U46" s="11" t="n">
        <v>1795.1540445796</v>
      </c>
      <c r="V46" s="11" t="n">
        <v>4.09486730226244</v>
      </c>
      <c r="W46" s="11" t="n">
        <v>97.59268032943</v>
      </c>
      <c r="X46" s="11" t="n">
        <v>0.320935537252434</v>
      </c>
      <c r="Y46" s="11" t="n">
        <v>1.33773793003206</v>
      </c>
      <c r="Z46" s="11" t="n">
        <v>0.00275091491268959</v>
      </c>
    </row>
    <row r="47" customFormat="false" ht="15.75" hidden="false" customHeight="true" outlineLevel="0" collapsed="false">
      <c r="B47" s="12" t="s">
        <v>167</v>
      </c>
      <c r="C47" s="5" t="s">
        <v>168</v>
      </c>
      <c r="D47" s="13" t="s">
        <v>169</v>
      </c>
      <c r="E47" s="14" t="n">
        <v>1</v>
      </c>
      <c r="F47" s="15" t="n">
        <v>1.727</v>
      </c>
      <c r="G47" s="16" t="n">
        <v>45793</v>
      </c>
      <c r="H47" s="12"/>
      <c r="I47" s="12" t="e">
        <f aca="false">IF($D47="","",_xlfn.xlookup($D47,$R:$R,$S:$S,""))</f>
        <v>#NAME?</v>
      </c>
      <c r="J47" s="12" t="e">
        <f aca="false">IF($D47="","",_xlfn.xlookup($D47,$R:$R,$T:$T,""))</f>
        <v>#NAME?</v>
      </c>
      <c r="K47" s="12" t="e">
        <f aca="false">IF($D47="","",_xlfn.xlookup($D47,$R:$R,$U:$U,""))</f>
        <v>#NAME?</v>
      </c>
      <c r="L47" s="12" t="e">
        <f aca="false">IF($D47="","",_xlfn.xlookup($D47,$R:$R,$V:$V,""))</f>
        <v>#NAME?</v>
      </c>
      <c r="M47" s="12" t="e">
        <f aca="false">IF($D47="","",_xlfn.xlookup($D47,$R:$R,$W:$W,""))</f>
        <v>#NAME?</v>
      </c>
      <c r="N47" s="12" t="e">
        <f aca="false">IF($D47="","",_xlfn.xlookup($D47,$R:$R,$X:$X,""))</f>
        <v>#NAME?</v>
      </c>
      <c r="O47" s="12" t="e">
        <f aca="false">IF($D47="","",_xlfn.xlookup($D47,$R:$R,$Y:$Y,""))</f>
        <v>#NAME?</v>
      </c>
      <c r="P47" s="12" t="e">
        <f aca="false">IF($D47="","",_xlfn.xlookup($D47,$R:$R,$Z:$Z,""))</f>
        <v>#NAME?</v>
      </c>
      <c r="Q47" s="12"/>
      <c r="R47" s="11" t="s">
        <v>170</v>
      </c>
      <c r="S47" s="11" t="n">
        <v>107.924307229738</v>
      </c>
      <c r="T47" s="11" t="n">
        <v>0.647115809843803</v>
      </c>
      <c r="U47" s="11" t="n">
        <v>1755.19766070293</v>
      </c>
      <c r="V47" s="11" t="n">
        <v>4.16195394962781</v>
      </c>
      <c r="W47" s="11" t="n">
        <v>96.3692579651402</v>
      </c>
      <c r="X47" s="11" t="n">
        <v>0.391332015539274</v>
      </c>
      <c r="Y47" s="11" t="n">
        <v>1.42665986749247</v>
      </c>
      <c r="Z47" s="11" t="n">
        <v>0.00322584038577821</v>
      </c>
    </row>
    <row r="48" customFormat="false" ht="15" hidden="false" customHeight="false" outlineLevel="0" collapsed="false">
      <c r="B48" s="12" t="s">
        <v>171</v>
      </c>
      <c r="C48" s="5" t="s">
        <v>172</v>
      </c>
      <c r="D48" s="13" t="s">
        <v>173</v>
      </c>
      <c r="E48" s="14" t="n">
        <v>1</v>
      </c>
      <c r="F48" s="15" t="n">
        <v>1.696</v>
      </c>
      <c r="G48" s="16" t="n">
        <v>45793</v>
      </c>
      <c r="H48" s="12"/>
      <c r="I48" s="12" t="e">
        <f aca="false">IF($D48="","",_xlfn.xlookup($D48,$R:$R,$S:$S,""))</f>
        <v>#NAME?</v>
      </c>
      <c r="J48" s="12" t="e">
        <f aca="false">IF($D48="","",_xlfn.xlookup($D48,$R:$R,$T:$T,""))</f>
        <v>#NAME?</v>
      </c>
      <c r="K48" s="12" t="e">
        <f aca="false">IF($D48="","",_xlfn.xlookup($D48,$R:$R,$U:$U,""))</f>
        <v>#NAME?</v>
      </c>
      <c r="L48" s="12" t="e">
        <f aca="false">IF($D48="","",_xlfn.xlookup($D48,$R:$R,$V:$V,""))</f>
        <v>#NAME?</v>
      </c>
      <c r="M48" s="12" t="e">
        <f aca="false">IF($D48="","",_xlfn.xlookup($D48,$R:$R,$W:$W,""))</f>
        <v>#NAME?</v>
      </c>
      <c r="N48" s="12" t="e">
        <f aca="false">IF($D48="","",_xlfn.xlookup($D48,$R:$R,$X:$X,""))</f>
        <v>#NAME?</v>
      </c>
      <c r="O48" s="12" t="e">
        <f aca="false">IF($D48="","",_xlfn.xlookup($D48,$R:$R,$Y:$Y,""))</f>
        <v>#NAME?</v>
      </c>
      <c r="P48" s="12" t="e">
        <f aca="false">IF($D48="","",_xlfn.xlookup($D48,$R:$R,$Z:$Z,""))</f>
        <v>#NAME?</v>
      </c>
      <c r="Q48" s="12"/>
      <c r="R48" s="11" t="s">
        <v>174</v>
      </c>
      <c r="S48" s="11" t="n">
        <v>37.8596427310694</v>
      </c>
      <c r="T48" s="11" t="n">
        <v>0.173970330835957</v>
      </c>
      <c r="U48" s="11" t="n">
        <v>549.217991219658</v>
      </c>
      <c r="V48" s="11" t="n">
        <v>1.49806304602229</v>
      </c>
      <c r="W48" s="11" t="n">
        <v>35.823240444447</v>
      </c>
      <c r="X48" s="11" t="n">
        <v>0.105205527626504</v>
      </c>
      <c r="Y48" s="11" t="n">
        <v>0.488387675065685</v>
      </c>
      <c r="Z48" s="11" t="n">
        <v>0.000928625398442252</v>
      </c>
    </row>
    <row r="49" customFormat="false" ht="15" hidden="false" customHeight="false" outlineLevel="0" collapsed="false">
      <c r="B49" s="12" t="s">
        <v>175</v>
      </c>
      <c r="C49" s="5" t="s">
        <v>176</v>
      </c>
      <c r="D49" s="13" t="s">
        <v>177</v>
      </c>
      <c r="E49" s="14" t="n">
        <v>1</v>
      </c>
      <c r="F49" s="15" t="n">
        <v>1.669</v>
      </c>
      <c r="G49" s="16" t="n">
        <v>45793</v>
      </c>
      <c r="H49" s="12"/>
      <c r="I49" s="12" t="e">
        <f aca="false">IF($D49="","",_xlfn.xlookup($D49,$R:$R,$S:$S,""))</f>
        <v>#NAME?</v>
      </c>
      <c r="J49" s="12" t="e">
        <f aca="false">IF($D49="","",_xlfn.xlookup($D49,$R:$R,$T:$T,""))</f>
        <v>#NAME?</v>
      </c>
      <c r="K49" s="12" t="e">
        <f aca="false">IF($D49="","",_xlfn.xlookup($D49,$R:$R,$U:$U,""))</f>
        <v>#NAME?</v>
      </c>
      <c r="L49" s="12" t="e">
        <f aca="false">IF($D49="","",_xlfn.xlookup($D49,$R:$R,$V:$V,""))</f>
        <v>#NAME?</v>
      </c>
      <c r="M49" s="12" t="e">
        <f aca="false">IF($D49="","",_xlfn.xlookup($D49,$R:$R,$W:$W,""))</f>
        <v>#NAME?</v>
      </c>
      <c r="N49" s="12" t="e">
        <f aca="false">IF($D49="","",_xlfn.xlookup($D49,$R:$R,$X:$X,""))</f>
        <v>#NAME?</v>
      </c>
      <c r="O49" s="12" t="e">
        <f aca="false">IF($D49="","",_xlfn.xlookup($D49,$R:$R,$Y:$Y,""))</f>
        <v>#NAME?</v>
      </c>
      <c r="P49" s="12" t="e">
        <f aca="false">IF($D49="","",_xlfn.xlookup($D49,$R:$R,$Z:$Z,""))</f>
        <v>#NAME?</v>
      </c>
      <c r="Q49" s="12"/>
      <c r="R49" s="11" t="s">
        <v>178</v>
      </c>
      <c r="S49" s="11" t="n">
        <v>18.2655959637242</v>
      </c>
      <c r="T49" s="11" t="n">
        <v>0.132217736287934</v>
      </c>
      <c r="U49" s="11" t="n">
        <v>714.094166040836</v>
      </c>
      <c r="V49" s="11" t="n">
        <v>1.60029109561323</v>
      </c>
      <c r="W49" s="11" t="n">
        <v>19.3499689075668</v>
      </c>
      <c r="X49" s="11" t="n">
        <v>0.0799563732557956</v>
      </c>
      <c r="Y49" s="11" t="n">
        <v>0.395666553097193</v>
      </c>
      <c r="Z49" s="11" t="n">
        <v>0.00079913247650597</v>
      </c>
    </row>
    <row r="50" customFormat="false" ht="15" hidden="false" customHeight="false" outlineLevel="0" collapsed="false">
      <c r="B50" s="12" t="s">
        <v>179</v>
      </c>
      <c r="C50" s="5" t="s">
        <v>180</v>
      </c>
      <c r="D50" s="13" t="s">
        <v>181</v>
      </c>
      <c r="E50" s="14" t="n">
        <v>1</v>
      </c>
      <c r="F50" s="15" t="n">
        <v>1.541</v>
      </c>
      <c r="G50" s="16" t="n">
        <v>45826</v>
      </c>
      <c r="H50" s="12"/>
      <c r="I50" s="12" t="e">
        <f aca="false">IF($D50="","",_xlfn.xlookup($D50,$R:$R,$S:$S,""))</f>
        <v>#NAME?</v>
      </c>
      <c r="J50" s="12" t="e">
        <f aca="false">IF($D50="","",_xlfn.xlookup($D50,$R:$R,$T:$T,""))</f>
        <v>#NAME?</v>
      </c>
      <c r="K50" s="12" t="e">
        <f aca="false">IF($D50="","",_xlfn.xlookup($D50,$R:$R,$U:$U,""))</f>
        <v>#NAME?</v>
      </c>
      <c r="L50" s="12" t="e">
        <f aca="false">IF($D50="","",_xlfn.xlookup($D50,$R:$R,$V:$V,""))</f>
        <v>#NAME?</v>
      </c>
      <c r="M50" s="12" t="e">
        <f aca="false">IF($D50="","",_xlfn.xlookup($D50,$R:$R,$W:$W,""))</f>
        <v>#NAME?</v>
      </c>
      <c r="N50" s="12" t="e">
        <f aca="false">IF($D50="","",_xlfn.xlookup($D50,$R:$R,$X:$X,""))</f>
        <v>#NAME?</v>
      </c>
      <c r="O50" s="12" t="e">
        <f aca="false">IF($D50="","",_xlfn.xlookup($D50,$R:$R,$Y:$Y,""))</f>
        <v>#NAME?</v>
      </c>
      <c r="P50" s="12" t="e">
        <f aca="false">IF($D50="","",_xlfn.xlookup($D50,$R:$R,$Z:$Z,""))</f>
        <v>#NAME?</v>
      </c>
      <c r="Q50" s="12"/>
      <c r="R50" s="11" t="s">
        <v>182</v>
      </c>
      <c r="S50" s="11" t="n">
        <v>18.9630533698894</v>
      </c>
      <c r="T50" s="11" t="n">
        <v>0.124319696759249</v>
      </c>
      <c r="U50" s="11" t="n">
        <v>696.78171695673</v>
      </c>
      <c r="V50" s="11" t="n">
        <v>1.49976701952797</v>
      </c>
      <c r="W50" s="11" t="n">
        <v>19.7345890739711</v>
      </c>
      <c r="X50" s="11" t="n">
        <v>0.0751801714066777</v>
      </c>
      <c r="Y50" s="11" t="n">
        <v>0.394143695588396</v>
      </c>
      <c r="Z50" s="11" t="n">
        <v>0.00075030015489809</v>
      </c>
    </row>
    <row r="51" customFormat="false" ht="15" hidden="false" customHeight="false" outlineLevel="0" collapsed="false">
      <c r="B51" s="12" t="s">
        <v>183</v>
      </c>
      <c r="C51" s="5" t="s">
        <v>99</v>
      </c>
      <c r="D51" s="13" t="s">
        <v>184</v>
      </c>
      <c r="E51" s="14" t="n">
        <v>1</v>
      </c>
      <c r="F51" s="20" t="n">
        <v>1.43</v>
      </c>
      <c r="G51" s="16" t="n">
        <v>45826</v>
      </c>
      <c r="H51" s="12"/>
      <c r="I51" s="12" t="e">
        <f aca="false">IF($D51="","",_xlfn.xlookup($D51,$R:$R,$S:$S,""))</f>
        <v>#NAME?</v>
      </c>
      <c r="J51" s="12" t="e">
        <f aca="false">IF($D51="","",_xlfn.xlookup($D51,$R:$R,$T:$T,""))</f>
        <v>#NAME?</v>
      </c>
      <c r="K51" s="12" t="e">
        <f aca="false">IF($D51="","",_xlfn.xlookup($D51,$R:$R,$U:$U,""))</f>
        <v>#NAME?</v>
      </c>
      <c r="L51" s="12" t="e">
        <f aca="false">IF($D51="","",_xlfn.xlookup($D51,$R:$R,$V:$V,""))</f>
        <v>#NAME?</v>
      </c>
      <c r="M51" s="12" t="e">
        <f aca="false">IF($D51="","",_xlfn.xlookup($D51,$R:$R,$W:$W,""))</f>
        <v>#NAME?</v>
      </c>
      <c r="N51" s="12" t="e">
        <f aca="false">IF($D51="","",_xlfn.xlookup($D51,$R:$R,$X:$X,""))</f>
        <v>#NAME?</v>
      </c>
      <c r="O51" s="12" t="e">
        <f aca="false">IF($D51="","",_xlfn.xlookup($D51,$R:$R,$Y:$Y,""))</f>
        <v>#NAME?</v>
      </c>
      <c r="P51" s="12" t="e">
        <f aca="false">IF($D51="","",_xlfn.xlookup($D51,$R:$R,$Z:$Z,""))</f>
        <v>#NAME?</v>
      </c>
      <c r="Q51" s="12"/>
      <c r="R51" s="11" t="s">
        <v>185</v>
      </c>
      <c r="S51" s="11" t="n">
        <v>37.097564066411</v>
      </c>
      <c r="T51" s="11" t="n">
        <v>0.198194779216759</v>
      </c>
      <c r="U51" s="11" t="n">
        <v>612.496029462253</v>
      </c>
      <c r="V51" s="11" t="n">
        <v>1.58415024994661</v>
      </c>
      <c r="W51" s="11" t="n">
        <v>33.5991687423043</v>
      </c>
      <c r="X51" s="11" t="n">
        <v>0.119854840880764</v>
      </c>
      <c r="Y51" s="11" t="n">
        <v>0.495819733753643</v>
      </c>
      <c r="Z51" s="11" t="n">
        <v>0.00103654421644758</v>
      </c>
    </row>
    <row r="52" customFormat="false" ht="15" hidden="false" customHeight="false" outlineLevel="0" collapsed="false">
      <c r="B52" s="12" t="s">
        <v>186</v>
      </c>
      <c r="C52" s="5" t="s">
        <v>99</v>
      </c>
      <c r="D52" s="13" t="s">
        <v>185</v>
      </c>
      <c r="E52" s="14" t="n">
        <v>1</v>
      </c>
      <c r="F52" s="15" t="n">
        <v>1.555</v>
      </c>
      <c r="G52" s="16" t="n">
        <v>45825</v>
      </c>
      <c r="H52" s="12"/>
      <c r="I52" s="12" t="e">
        <f aca="false">IF($D52="","",_xlfn.xlookup($D52,$R:$R,$S:$S,""))</f>
        <v>#NAME?</v>
      </c>
      <c r="J52" s="12" t="e">
        <f aca="false">IF($D52="","",_xlfn.xlookup($D52,$R:$R,$T:$T,""))</f>
        <v>#NAME?</v>
      </c>
      <c r="K52" s="12" t="e">
        <f aca="false">IF($D52="","",_xlfn.xlookup($D52,$R:$R,$U:$U,""))</f>
        <v>#NAME?</v>
      </c>
      <c r="L52" s="12" t="e">
        <f aca="false">IF($D52="","",_xlfn.xlookup($D52,$R:$R,$V:$V,""))</f>
        <v>#NAME?</v>
      </c>
      <c r="M52" s="12" t="e">
        <f aca="false">IF($D52="","",_xlfn.xlookup($D52,$R:$R,$W:$W,""))</f>
        <v>#NAME?</v>
      </c>
      <c r="N52" s="12" t="e">
        <f aca="false">IF($D52="","",_xlfn.xlookup($D52,$R:$R,$X:$X,""))</f>
        <v>#NAME?</v>
      </c>
      <c r="O52" s="12" t="e">
        <f aca="false">IF($D52="","",_xlfn.xlookup($D52,$R:$R,$Y:$Y,""))</f>
        <v>#NAME?</v>
      </c>
      <c r="P52" s="12" t="e">
        <f aca="false">IF($D52="","",_xlfn.xlookup($D52,$R:$R,$Z:$Z,""))</f>
        <v>#NAME?</v>
      </c>
      <c r="Q52" s="12"/>
      <c r="R52" s="11" t="s">
        <v>184</v>
      </c>
      <c r="S52" s="11" t="n">
        <v>28.723488437466</v>
      </c>
      <c r="T52" s="11" t="n">
        <v>0.146041772815496</v>
      </c>
      <c r="U52" s="11" t="n">
        <v>592.864734384179</v>
      </c>
      <c r="V52" s="11" t="n">
        <v>1.48528474396431</v>
      </c>
      <c r="W52" s="11" t="n">
        <v>27.1363248172263</v>
      </c>
      <c r="X52" s="11" t="n">
        <v>0.0883162185801205</v>
      </c>
      <c r="Y52" s="11" t="n">
        <v>0.429048163672411</v>
      </c>
      <c r="Z52" s="11" t="n">
        <v>0.000822856506042486</v>
      </c>
    </row>
    <row r="53" customFormat="false" ht="15" hidden="false" customHeight="false" outlineLevel="0" collapsed="false">
      <c r="B53" s="12" t="s">
        <v>187</v>
      </c>
      <c r="C53" s="5" t="s">
        <v>99</v>
      </c>
      <c r="D53" s="13" t="s">
        <v>182</v>
      </c>
      <c r="E53" s="14" t="n">
        <v>1</v>
      </c>
      <c r="F53" s="15" t="n">
        <v>1.544</v>
      </c>
      <c r="G53" s="16" t="n">
        <v>45826</v>
      </c>
      <c r="H53" s="12"/>
      <c r="I53" s="12" t="e">
        <f aca="false">IF($D53="","",_xlfn.xlookup($D53,$R:$R,$S:$S,""))</f>
        <v>#NAME?</v>
      </c>
      <c r="J53" s="12" t="e">
        <f aca="false">IF($D53="","",_xlfn.xlookup($D53,$R:$R,$T:$T,""))</f>
        <v>#NAME?</v>
      </c>
      <c r="K53" s="12" t="e">
        <f aca="false">IF($D53="","",_xlfn.xlookup($D53,$R:$R,$U:$U,""))</f>
        <v>#NAME?</v>
      </c>
      <c r="L53" s="12" t="e">
        <f aca="false">IF($D53="","",_xlfn.xlookup($D53,$R:$R,$V:$V,""))</f>
        <v>#NAME?</v>
      </c>
      <c r="M53" s="12" t="e">
        <f aca="false">IF($D53="","",_xlfn.xlookup($D53,$R:$R,$W:$W,""))</f>
        <v>#NAME?</v>
      </c>
      <c r="N53" s="12" t="e">
        <f aca="false">IF($D53="","",_xlfn.xlookup($D53,$R:$R,$X:$X,""))</f>
        <v>#NAME?</v>
      </c>
      <c r="O53" s="12" t="e">
        <f aca="false">IF($D53="","",_xlfn.xlookup($D53,$R:$R,$Y:$Y,""))</f>
        <v>#NAME?</v>
      </c>
      <c r="P53" s="12" t="e">
        <f aca="false">IF($D53="","",_xlfn.xlookup($D53,$R:$R,$Z:$Z,""))</f>
        <v>#NAME?</v>
      </c>
      <c r="Q53" s="12"/>
      <c r="R53" s="11" t="s">
        <v>181</v>
      </c>
      <c r="S53" s="11" t="n">
        <v>25.2951285518355</v>
      </c>
      <c r="T53" s="11" t="n">
        <v>0.13599350306635</v>
      </c>
      <c r="U53" s="11" t="n">
        <v>620.202957542543</v>
      </c>
      <c r="V53" s="11" t="n">
        <v>1.26443659706691</v>
      </c>
      <c r="W53" s="11" t="n">
        <v>24.1621195833377</v>
      </c>
      <c r="X53" s="11" t="n">
        <v>0.0822397024545682</v>
      </c>
      <c r="Y53" s="11" t="n">
        <v>0.411862012270321</v>
      </c>
      <c r="Z53" s="11" t="n">
        <v>0.000743115150646735</v>
      </c>
    </row>
    <row r="54" customFormat="false" ht="15" hidden="false" customHeight="false" outlineLevel="0" collapsed="false">
      <c r="B54" s="12" t="s">
        <v>188</v>
      </c>
      <c r="C54" s="5" t="s">
        <v>99</v>
      </c>
      <c r="D54" s="13" t="s">
        <v>178</v>
      </c>
      <c r="E54" s="14" t="n">
        <v>1</v>
      </c>
      <c r="F54" s="15" t="n">
        <v>1.545</v>
      </c>
      <c r="G54" s="16" t="n">
        <v>45825</v>
      </c>
      <c r="H54" s="12"/>
      <c r="I54" s="12" t="e">
        <f aca="false">IF($D54="","",_xlfn.xlookup($D54,$R:$R,$S:$S,""))</f>
        <v>#NAME?</v>
      </c>
      <c r="J54" s="12" t="e">
        <f aca="false">IF($D54="","",_xlfn.xlookup($D54,$R:$R,$T:$T,""))</f>
        <v>#NAME?</v>
      </c>
      <c r="K54" s="12" t="e">
        <f aca="false">IF($D54="","",_xlfn.xlookup($D54,$R:$R,$U:$U,""))</f>
        <v>#NAME?</v>
      </c>
      <c r="L54" s="12" t="e">
        <f aca="false">IF($D54="","",_xlfn.xlookup($D54,$R:$R,$V:$V,""))</f>
        <v>#NAME?</v>
      </c>
      <c r="M54" s="12" t="e">
        <f aca="false">IF($D54="","",_xlfn.xlookup($D54,$R:$R,$W:$W,""))</f>
        <v>#NAME?</v>
      </c>
      <c r="N54" s="12" t="e">
        <f aca="false">IF($D54="","",_xlfn.xlookup($D54,$R:$R,$X:$X,""))</f>
        <v>#NAME?</v>
      </c>
      <c r="O54" s="12" t="e">
        <f aca="false">IF($D54="","",_xlfn.xlookup($D54,$R:$R,$Y:$Y,""))</f>
        <v>#NAME?</v>
      </c>
      <c r="P54" s="12" t="e">
        <f aca="false">IF($D54="","",_xlfn.xlookup($D54,$R:$R,$Z:$Z,""))</f>
        <v>#NAME?</v>
      </c>
      <c r="Q54" s="12"/>
      <c r="R54" s="11" t="s">
        <v>177</v>
      </c>
      <c r="S54" s="11" t="n">
        <v>47.800270282884</v>
      </c>
      <c r="T54" s="11" t="n">
        <v>0.254175997936202</v>
      </c>
      <c r="U54" s="11" t="n">
        <v>702.721881789295</v>
      </c>
      <c r="V54" s="11" t="n">
        <v>1.78561701335084</v>
      </c>
      <c r="W54" s="11" t="n">
        <v>38.4480527773509</v>
      </c>
      <c r="X54" s="11" t="n">
        <v>0.153708507906937</v>
      </c>
      <c r="Y54" s="11" t="n">
        <v>0.585815125426133</v>
      </c>
      <c r="Z54" s="11" t="n">
        <v>0.00128948269673989</v>
      </c>
    </row>
    <row r="55" customFormat="false" ht="15" hidden="false" customHeight="false" outlineLevel="0" collapsed="false">
      <c r="B55" s="12" t="s">
        <v>189</v>
      </c>
      <c r="C55" s="5" t="s">
        <v>190</v>
      </c>
      <c r="D55" s="13" t="s">
        <v>174</v>
      </c>
      <c r="E55" s="14" t="n">
        <v>1</v>
      </c>
      <c r="F55" s="15" t="n">
        <v>1.445</v>
      </c>
      <c r="G55" s="16" t="n">
        <v>45826</v>
      </c>
      <c r="H55" s="12"/>
      <c r="I55" s="12" t="e">
        <f aca="false">IF($D55="","",_xlfn.xlookup($D55,$R:$R,$S:$S,""))</f>
        <v>#NAME?</v>
      </c>
      <c r="J55" s="12" t="e">
        <f aca="false">IF($D55="","",_xlfn.xlookup($D55,$R:$R,$T:$T,""))</f>
        <v>#NAME?</v>
      </c>
      <c r="K55" s="12" t="e">
        <f aca="false">IF($D55="","",_xlfn.xlookup($D55,$R:$R,$U:$U,""))</f>
        <v>#NAME?</v>
      </c>
      <c r="L55" s="12" t="e">
        <f aca="false">IF($D55="","",_xlfn.xlookup($D55,$R:$R,$V:$V,""))</f>
        <v>#NAME?</v>
      </c>
      <c r="M55" s="12" t="e">
        <f aca="false">IF($D55="","",_xlfn.xlookup($D55,$R:$R,$W:$W,""))</f>
        <v>#NAME?</v>
      </c>
      <c r="N55" s="12" t="e">
        <f aca="false">IF($D55="","",_xlfn.xlookup($D55,$R:$R,$X:$X,""))</f>
        <v>#NAME?</v>
      </c>
      <c r="O55" s="12" t="e">
        <f aca="false">IF($D55="","",_xlfn.xlookup($D55,$R:$R,$Y:$Y,""))</f>
        <v>#NAME?</v>
      </c>
      <c r="P55" s="12" t="e">
        <f aca="false">IF($D55="","",_xlfn.xlookup($D55,$R:$R,$Z:$Z,""))</f>
        <v>#NAME?</v>
      </c>
      <c r="Q55" s="12"/>
      <c r="R55" s="11" t="s">
        <v>173</v>
      </c>
      <c r="S55" s="11" t="n">
        <v>52.4244960966922</v>
      </c>
      <c r="T55" s="11" t="n">
        <v>0.290371637199322</v>
      </c>
      <c r="U55" s="11" t="n">
        <v>860.893558969566</v>
      </c>
      <c r="V55" s="11" t="n">
        <v>2.40564240286088</v>
      </c>
      <c r="W55" s="11" t="n">
        <v>42.9311301583322</v>
      </c>
      <c r="X55" s="11" t="n">
        <v>0.175597190351565</v>
      </c>
      <c r="Y55" s="11" t="n">
        <v>0.67636849077049</v>
      </c>
      <c r="Z55" s="11" t="n">
        <v>0.00153320354968067</v>
      </c>
    </row>
    <row r="56" customFormat="false" ht="15" hidden="false" customHeight="false" outlineLevel="0" collapsed="false">
      <c r="B56" s="12" t="s">
        <v>191</v>
      </c>
      <c r="C56" s="5" t="s">
        <v>192</v>
      </c>
      <c r="D56" s="21" t="s">
        <v>193</v>
      </c>
      <c r="E56" s="22" t="n">
        <v>1</v>
      </c>
      <c r="F56" s="23" t="n">
        <v>2.191</v>
      </c>
      <c r="G56" s="16" t="n">
        <v>45826</v>
      </c>
      <c r="H56" s="12" t="s">
        <v>194</v>
      </c>
      <c r="I56" s="12" t="e">
        <f aca="false">IF($D56="","",_xlfn.xlookup($D56,$R:$R,$S:$S,""))</f>
        <v>#NAME?</v>
      </c>
      <c r="J56" s="12" t="e">
        <f aca="false">IF($D56="","",_xlfn.xlookup($D56,$R:$R,$T:$T,""))</f>
        <v>#NAME?</v>
      </c>
      <c r="K56" s="12" t="e">
        <f aca="false">IF($D56="","",_xlfn.xlookup($D56,$R:$R,$U:$U,""))</f>
        <v>#NAME?</v>
      </c>
      <c r="L56" s="12" t="e">
        <f aca="false">IF($D56="","",_xlfn.xlookup($D56,$R:$R,$V:$V,""))</f>
        <v>#NAME?</v>
      </c>
      <c r="M56" s="12" t="e">
        <f aca="false">IF($D56="","",_xlfn.xlookup($D56,$R:$R,$W:$W,""))</f>
        <v>#NAME?</v>
      </c>
      <c r="N56" s="12" t="e">
        <f aca="false">IF($D56="","",_xlfn.xlookup($D56,$R:$R,$X:$X,""))</f>
        <v>#NAME?</v>
      </c>
      <c r="O56" s="12" t="e">
        <f aca="false">IF($D56="","",_xlfn.xlookup($D56,$R:$R,$Y:$Y,""))</f>
        <v>#NAME?</v>
      </c>
      <c r="P56" s="12" t="e">
        <f aca="false">IF($D56="","",_xlfn.xlookup($D56,$R:$R,$Z:$Z,""))</f>
        <v>#NAME?</v>
      </c>
      <c r="Q56" s="12"/>
      <c r="R56" s="11" t="s">
        <v>169</v>
      </c>
      <c r="S56" s="11" t="n">
        <v>66.8148494241965</v>
      </c>
      <c r="T56" s="11" t="n">
        <v>0.296270629250176</v>
      </c>
      <c r="U56" s="11" t="n">
        <v>351.194916888936</v>
      </c>
      <c r="V56" s="11" t="n">
        <v>1.40018918429778</v>
      </c>
      <c r="W56" s="11" t="n">
        <v>33.0781329378554</v>
      </c>
      <c r="X56" s="11" t="n">
        <v>0.179164503054786</v>
      </c>
      <c r="Y56" s="11" t="n">
        <v>0.505171801732911</v>
      </c>
      <c r="Z56" s="11" t="n">
        <v>0.00141266651475929</v>
      </c>
    </row>
    <row r="57" customFormat="false" ht="15" hidden="false" customHeight="false" outlineLevel="0" collapsed="false">
      <c r="B57" s="12" t="s">
        <v>195</v>
      </c>
      <c r="C57" s="5" t="s">
        <v>196</v>
      </c>
      <c r="D57" s="13" t="s">
        <v>170</v>
      </c>
      <c r="E57" s="14" t="n">
        <v>1</v>
      </c>
      <c r="F57" s="15" t="n">
        <v>1.899</v>
      </c>
      <c r="G57" s="16" t="n">
        <v>45826</v>
      </c>
      <c r="H57" s="12" t="s">
        <v>194</v>
      </c>
      <c r="I57" s="12" t="e">
        <f aca="false">IF($D57="","",_xlfn.xlookup($D57,$R:$R,$S:$S,""))</f>
        <v>#NAME?</v>
      </c>
      <c r="J57" s="12" t="e">
        <f aca="false">IF($D57="","",_xlfn.xlookup($D57,$R:$R,$T:$T,""))</f>
        <v>#NAME?</v>
      </c>
      <c r="K57" s="12" t="e">
        <f aca="false">IF($D57="","",_xlfn.xlookup($D57,$R:$R,$U:$U,""))</f>
        <v>#NAME?</v>
      </c>
      <c r="L57" s="12" t="e">
        <f aca="false">IF($D57="","",_xlfn.xlookup($D57,$R:$R,$V:$V,""))</f>
        <v>#NAME?</v>
      </c>
      <c r="M57" s="12" t="e">
        <f aca="false">IF($D57="","",_xlfn.xlookup($D57,$R:$R,$W:$W,""))</f>
        <v>#NAME?</v>
      </c>
      <c r="N57" s="12" t="e">
        <f aca="false">IF($D57="","",_xlfn.xlookup($D57,$R:$R,$X:$X,""))</f>
        <v>#NAME?</v>
      </c>
      <c r="O57" s="12" t="e">
        <f aca="false">IF($D57="","",_xlfn.xlookup($D57,$R:$R,$Y:$Y,""))</f>
        <v>#NAME?</v>
      </c>
      <c r="P57" s="12" t="e">
        <f aca="false">IF($D57="","",_xlfn.xlookup($D57,$R:$R,$Z:$Z,""))</f>
        <v>#NAME?</v>
      </c>
      <c r="Q57" s="12"/>
      <c r="R57" s="11" t="s">
        <v>165</v>
      </c>
      <c r="S57" s="11" t="n">
        <v>49.5127499668869</v>
      </c>
      <c r="T57" s="11" t="n">
        <v>0.261684631075257</v>
      </c>
      <c r="U57" s="11" t="n">
        <v>754.163438458369</v>
      </c>
      <c r="V57" s="11" t="n">
        <v>2.15882412624352</v>
      </c>
      <c r="W57" s="11" t="n">
        <v>38.6987118551235</v>
      </c>
      <c r="X57" s="11" t="n">
        <v>0.158249223024006</v>
      </c>
      <c r="Y57" s="11" t="n">
        <v>0.609923871984697</v>
      </c>
      <c r="Z57" s="11" t="n">
        <v>0.00138013847752814</v>
      </c>
    </row>
    <row r="58" customFormat="false" ht="15" hidden="false" customHeight="false" outlineLevel="0" collapsed="false">
      <c r="B58" s="12" t="s">
        <v>197</v>
      </c>
      <c r="C58" s="5" t="s">
        <v>198</v>
      </c>
      <c r="D58" s="13" t="s">
        <v>166</v>
      </c>
      <c r="E58" s="14" t="n">
        <v>1</v>
      </c>
      <c r="F58" s="15" t="n">
        <v>1.777</v>
      </c>
      <c r="G58" s="16" t="n">
        <v>45826</v>
      </c>
      <c r="H58" s="12" t="s">
        <v>194</v>
      </c>
      <c r="I58" s="12" t="e">
        <f aca="false">IF($D58="","",_xlfn.xlookup($D58,$R:$R,$S:$S,""))</f>
        <v>#NAME?</v>
      </c>
      <c r="J58" s="12" t="e">
        <f aca="false">IF($D58="","",_xlfn.xlookup($D58,$R:$R,$T:$T,""))</f>
        <v>#NAME?</v>
      </c>
      <c r="K58" s="12" t="e">
        <f aca="false">IF($D58="","",_xlfn.xlookup($D58,$R:$R,$U:$U,""))</f>
        <v>#NAME?</v>
      </c>
      <c r="L58" s="12" t="e">
        <f aca="false">IF($D58="","",_xlfn.xlookup($D58,$R:$R,$V:$V,""))</f>
        <v>#NAME?</v>
      </c>
      <c r="M58" s="12" t="e">
        <f aca="false">IF($D58="","",_xlfn.xlookup($D58,$R:$R,$W:$W,""))</f>
        <v>#NAME?</v>
      </c>
      <c r="N58" s="12" t="e">
        <f aca="false">IF($D58="","",_xlfn.xlookup($D58,$R:$R,$X:$X,""))</f>
        <v>#NAME?</v>
      </c>
      <c r="O58" s="12" t="e">
        <f aca="false">IF($D58="","",_xlfn.xlookup($D58,$R:$R,$Y:$Y,""))</f>
        <v>#NAME?</v>
      </c>
      <c r="P58" s="12" t="e">
        <f aca="false">IF($D58="","",_xlfn.xlookup($D58,$R:$R,$Z:$Z,""))</f>
        <v>#NAME?</v>
      </c>
      <c r="Q58" s="12"/>
      <c r="R58" s="11" t="s">
        <v>161</v>
      </c>
      <c r="S58" s="11" t="n">
        <v>16.0547245741043</v>
      </c>
      <c r="T58" s="11" t="n">
        <v>0.0949592025688671</v>
      </c>
      <c r="U58" s="11" t="n">
        <v>360.711816952724</v>
      </c>
      <c r="V58" s="11" t="n">
        <v>0.771697356665458</v>
      </c>
      <c r="W58" s="11" t="n">
        <v>17.942907244099</v>
      </c>
      <c r="X58" s="11" t="n">
        <v>0.0574249239007877</v>
      </c>
      <c r="Y58" s="11" t="n">
        <v>0.263467557118417</v>
      </c>
      <c r="Z58" s="11" t="n">
        <v>0.000498799308302058</v>
      </c>
    </row>
    <row r="59" customFormat="false" ht="15" hidden="false" customHeight="false" outlineLevel="0" collapsed="false">
      <c r="B59" s="12" t="s">
        <v>199</v>
      </c>
      <c r="C59" s="5" t="s">
        <v>200</v>
      </c>
      <c r="D59" s="13" t="s">
        <v>162</v>
      </c>
      <c r="E59" s="14" t="n">
        <v>1</v>
      </c>
      <c r="F59" s="15" t="n">
        <v>1.748</v>
      </c>
      <c r="G59" s="16" t="n">
        <v>45826</v>
      </c>
      <c r="H59" s="12" t="s">
        <v>194</v>
      </c>
      <c r="I59" s="12" t="e">
        <f aca="false">IF($D59="","",_xlfn.xlookup($D59,$R:$R,$S:$S,""))</f>
        <v>#NAME?</v>
      </c>
      <c r="J59" s="12" t="e">
        <f aca="false">IF($D59="","",_xlfn.xlookup($D59,$R:$R,$T:$T,""))</f>
        <v>#NAME?</v>
      </c>
      <c r="K59" s="12" t="e">
        <f aca="false">IF($D59="","",_xlfn.xlookup($D59,$R:$R,$U:$U,""))</f>
        <v>#NAME?</v>
      </c>
      <c r="L59" s="12" t="e">
        <f aca="false">IF($D59="","",_xlfn.xlookup($D59,$R:$R,$V:$V,""))</f>
        <v>#NAME?</v>
      </c>
      <c r="M59" s="12" t="e">
        <f aca="false">IF($D59="","",_xlfn.xlookup($D59,$R:$R,$W:$W,""))</f>
        <v>#NAME?</v>
      </c>
      <c r="N59" s="12" t="e">
        <f aca="false">IF($D59="","",_xlfn.xlookup($D59,$R:$R,$X:$X,""))</f>
        <v>#NAME?</v>
      </c>
      <c r="O59" s="12" t="e">
        <f aca="false">IF($D59="","",_xlfn.xlookup($D59,$R:$R,$Y:$Y,""))</f>
        <v>#NAME?</v>
      </c>
      <c r="P59" s="12" t="e">
        <f aca="false">IF($D59="","",_xlfn.xlookup($D59,$R:$R,$Z:$Z,""))</f>
        <v>#NAME?</v>
      </c>
      <c r="Q59" s="12"/>
      <c r="R59" s="11" t="s">
        <v>157</v>
      </c>
      <c r="S59" s="11" t="n">
        <v>38.5042995211067</v>
      </c>
      <c r="T59" s="11" t="n">
        <v>0.187517288414953</v>
      </c>
      <c r="U59" s="11" t="n">
        <v>800.231798695266</v>
      </c>
      <c r="V59" s="11" t="n">
        <v>1.95671976050622</v>
      </c>
      <c r="W59" s="11" t="n">
        <v>38.4520974749645</v>
      </c>
      <c r="X59" s="11" t="n">
        <v>0.113397814282416</v>
      </c>
      <c r="Y59" s="11" t="n">
        <v>0.5873520853436</v>
      </c>
      <c r="Z59" s="11" t="n">
        <v>0.00106657890422873</v>
      </c>
    </row>
    <row r="60" customFormat="false" ht="15" hidden="false" customHeight="false" outlineLevel="0" collapsed="false">
      <c r="B60" s="12" t="s">
        <v>201</v>
      </c>
      <c r="C60" s="5" t="s">
        <v>202</v>
      </c>
      <c r="D60" s="13" t="s">
        <v>158</v>
      </c>
      <c r="E60" s="14" t="n">
        <v>1</v>
      </c>
      <c r="F60" s="15" t="n">
        <v>1.719</v>
      </c>
      <c r="G60" s="16" t="n">
        <v>45831</v>
      </c>
      <c r="H60" s="12" t="s">
        <v>194</v>
      </c>
      <c r="I60" s="12" t="e">
        <f aca="false">IF($D60="","",_xlfn.xlookup($D60,$R:$R,$S:$S,""))</f>
        <v>#NAME?</v>
      </c>
      <c r="J60" s="12" t="e">
        <f aca="false">IF($D60="","",_xlfn.xlookup($D60,$R:$R,$T:$T,""))</f>
        <v>#NAME?</v>
      </c>
      <c r="K60" s="12" t="e">
        <f aca="false">IF($D60="","",_xlfn.xlookup($D60,$R:$R,$U:$U,""))</f>
        <v>#NAME?</v>
      </c>
      <c r="L60" s="12" t="e">
        <f aca="false">IF($D60="","",_xlfn.xlookup($D60,$R:$R,$V:$V,""))</f>
        <v>#NAME?</v>
      </c>
      <c r="M60" s="12" t="e">
        <f aca="false">IF($D60="","",_xlfn.xlookup($D60,$R:$R,$W:$W,""))</f>
        <v>#NAME?</v>
      </c>
      <c r="N60" s="12" t="e">
        <f aca="false">IF($D60="","",_xlfn.xlookup($D60,$R:$R,$X:$X,""))</f>
        <v>#NAME?</v>
      </c>
      <c r="O60" s="12" t="e">
        <f aca="false">IF($D60="","",_xlfn.xlookup($D60,$R:$R,$Y:$Y,""))</f>
        <v>#NAME?</v>
      </c>
      <c r="P60" s="12" t="e">
        <f aca="false">IF($D60="","",_xlfn.xlookup($D60,$R:$R,$Z:$Z,""))</f>
        <v>#NAME?</v>
      </c>
      <c r="Q60" s="12"/>
      <c r="R60" s="11" t="s">
        <v>153</v>
      </c>
      <c r="S60" s="11" t="n">
        <v>59.4986938128987</v>
      </c>
      <c r="T60" s="11" t="n">
        <v>0.151075463527126</v>
      </c>
      <c r="U60" s="11" t="n">
        <v>265.166607108167</v>
      </c>
      <c r="V60" s="11" t="n">
        <v>1.67207438981731</v>
      </c>
      <c r="W60" s="11" t="n">
        <v>40.9276857056302</v>
      </c>
      <c r="X60" s="11" t="n">
        <v>0.0913602553689278</v>
      </c>
      <c r="Y60" s="11" t="n">
        <v>0.491356276940536</v>
      </c>
      <c r="Z60" s="11" t="n">
        <v>0.000879154833526595</v>
      </c>
    </row>
    <row r="61" customFormat="false" ht="15" hidden="false" customHeight="false" outlineLevel="0" collapsed="false">
      <c r="B61" s="12" t="s">
        <v>203</v>
      </c>
      <c r="C61" s="5" t="s">
        <v>204</v>
      </c>
      <c r="D61" s="13" t="s">
        <v>154</v>
      </c>
      <c r="E61" s="14" t="n">
        <v>1</v>
      </c>
      <c r="F61" s="15" t="n">
        <v>1.866</v>
      </c>
      <c r="G61" s="16" t="n">
        <v>45831</v>
      </c>
      <c r="H61" s="12" t="s">
        <v>194</v>
      </c>
      <c r="I61" s="12" t="e">
        <f aca="false">IF($D61="","",_xlfn.xlookup($D61,$R:$R,$S:$S,""))</f>
        <v>#NAME?</v>
      </c>
      <c r="J61" s="12" t="e">
        <f aca="false">IF($D61="","",_xlfn.xlookup($D61,$R:$R,$T:$T,""))</f>
        <v>#NAME?</v>
      </c>
      <c r="K61" s="12" t="e">
        <f aca="false">IF($D61="","",_xlfn.xlookup($D61,$R:$R,$U:$U,""))</f>
        <v>#NAME?</v>
      </c>
      <c r="L61" s="12" t="e">
        <f aca="false">IF($D61="","",_xlfn.xlookup($D61,$R:$R,$V:$V,""))</f>
        <v>#NAME?</v>
      </c>
      <c r="M61" s="12" t="e">
        <f aca="false">IF($D61="","",_xlfn.xlookup($D61,$R:$R,$W:$W,""))</f>
        <v>#NAME?</v>
      </c>
      <c r="N61" s="12" t="e">
        <f aca="false">IF($D61="","",_xlfn.xlookup($D61,$R:$R,$X:$X,""))</f>
        <v>#NAME?</v>
      </c>
      <c r="O61" s="12" t="e">
        <f aca="false">IF($D61="","",_xlfn.xlookup($D61,$R:$R,$Y:$Y,""))</f>
        <v>#NAME?</v>
      </c>
      <c r="P61" s="12" t="e">
        <f aca="false">IF($D61="","",_xlfn.xlookup($D61,$R:$R,$Z:$Z,""))</f>
        <v>#NAME?</v>
      </c>
      <c r="Q61" s="12"/>
      <c r="R61" s="11" t="s">
        <v>150</v>
      </c>
      <c r="S61" s="11" t="n">
        <v>63.7460325504672</v>
      </c>
      <c r="T61" s="11" t="n">
        <v>0.323879100718664</v>
      </c>
      <c r="U61" s="11" t="n">
        <v>364.909570512931</v>
      </c>
      <c r="V61" s="11" t="n">
        <v>1.65009193641733</v>
      </c>
      <c r="W61" s="11" t="n">
        <v>99.0579033571249</v>
      </c>
      <c r="X61" s="11" t="n">
        <v>0.195860245333637</v>
      </c>
      <c r="Y61" s="11" t="n">
        <v>0.829412815458159</v>
      </c>
      <c r="Z61" s="11" t="n">
        <v>0.00155791344146397</v>
      </c>
    </row>
    <row r="62" customFormat="false" ht="15" hidden="false" customHeight="false" outlineLevel="0" collapsed="false">
      <c r="B62" s="12" t="s">
        <v>205</v>
      </c>
      <c r="C62" s="5" t="s">
        <v>200</v>
      </c>
      <c r="D62" s="13" t="s">
        <v>151</v>
      </c>
      <c r="E62" s="14" t="n">
        <v>1</v>
      </c>
      <c r="F62" s="15" t="n">
        <v>1.747</v>
      </c>
      <c r="G62" s="16" t="n">
        <v>45831</v>
      </c>
      <c r="H62" s="12" t="s">
        <v>194</v>
      </c>
      <c r="I62" s="12" t="e">
        <f aca="false">IF($D62="","",_xlfn.xlookup($D62,$R:$R,$S:$S,""))</f>
        <v>#NAME?</v>
      </c>
      <c r="J62" s="12" t="e">
        <f aca="false">IF($D62="","",_xlfn.xlookup($D62,$R:$R,$T:$T,""))</f>
        <v>#NAME?</v>
      </c>
      <c r="K62" s="12" t="e">
        <f aca="false">IF($D62="","",_xlfn.xlookup($D62,$R:$R,$U:$U,""))</f>
        <v>#NAME?</v>
      </c>
      <c r="L62" s="12" t="e">
        <f aca="false">IF($D62="","",_xlfn.xlookup($D62,$R:$R,$V:$V,""))</f>
        <v>#NAME?</v>
      </c>
      <c r="M62" s="12" t="e">
        <f aca="false">IF($D62="","",_xlfn.xlookup($D62,$R:$R,$W:$W,""))</f>
        <v>#NAME?</v>
      </c>
      <c r="N62" s="12" t="e">
        <f aca="false">IF($D62="","",_xlfn.xlookup($D62,$R:$R,$X:$X,""))</f>
        <v>#NAME?</v>
      </c>
      <c r="O62" s="12" t="e">
        <f aca="false">IF($D62="","",_xlfn.xlookup($D62,$R:$R,$Y:$Y,""))</f>
        <v>#NAME?</v>
      </c>
      <c r="P62" s="12" t="e">
        <f aca="false">IF($D62="","",_xlfn.xlookup($D62,$R:$R,$Z:$Z,""))</f>
        <v>#NAME?</v>
      </c>
      <c r="Q62" s="12"/>
      <c r="R62" s="11" t="s">
        <v>147</v>
      </c>
      <c r="S62" s="11" t="n">
        <v>187.307289486219</v>
      </c>
      <c r="T62" s="11" t="n">
        <v>0.986996308417836</v>
      </c>
      <c r="U62" s="11" t="n">
        <v>177.375868396917</v>
      </c>
      <c r="V62" s="11" t="n">
        <v>2.95109876302962</v>
      </c>
      <c r="W62" s="11" t="n">
        <v>182.545735897504</v>
      </c>
      <c r="X62" s="11" t="n">
        <v>0.596868827538311</v>
      </c>
      <c r="Y62" s="11" t="n">
        <v>1.59621160057389</v>
      </c>
      <c r="Z62" s="11" t="n">
        <v>0.00454950479089958</v>
      </c>
    </row>
    <row r="63" customFormat="false" ht="15" hidden="false" customHeight="false" outlineLevel="0" collapsed="false">
      <c r="B63" s="12" t="s">
        <v>206</v>
      </c>
      <c r="C63" s="5" t="s">
        <v>204</v>
      </c>
      <c r="D63" s="21" t="s">
        <v>207</v>
      </c>
      <c r="E63" s="22" t="n">
        <v>1</v>
      </c>
      <c r="F63" s="23" t="n">
        <v>1.887</v>
      </c>
      <c r="G63" s="16" t="n">
        <v>45831</v>
      </c>
      <c r="H63" s="12" t="s">
        <v>194</v>
      </c>
      <c r="I63" s="12" t="e">
        <f aca="false">IF($D63="","",_xlfn.xlookup($D63,$R:$R,$S:$S,""))</f>
        <v>#NAME?</v>
      </c>
      <c r="J63" s="12" t="e">
        <f aca="false">IF($D63="","",_xlfn.xlookup($D63,$R:$R,$T:$T,""))</f>
        <v>#NAME?</v>
      </c>
      <c r="K63" s="12" t="e">
        <f aca="false">IF($D63="","",_xlfn.xlookup($D63,$R:$R,$U:$U,""))</f>
        <v>#NAME?</v>
      </c>
      <c r="L63" s="12" t="e">
        <f aca="false">IF($D63="","",_xlfn.xlookup($D63,$R:$R,$V:$V,""))</f>
        <v>#NAME?</v>
      </c>
      <c r="M63" s="12" t="e">
        <f aca="false">IF($D63="","",_xlfn.xlookup($D63,$R:$R,$W:$W,""))</f>
        <v>#NAME?</v>
      </c>
      <c r="N63" s="12" t="e">
        <f aca="false">IF($D63="","",_xlfn.xlookup($D63,$R:$R,$X:$X,""))</f>
        <v>#NAME?</v>
      </c>
      <c r="O63" s="12" t="e">
        <f aca="false">IF($D63="","",_xlfn.xlookup($D63,$R:$R,$Y:$Y,""))</f>
        <v>#NAME?</v>
      </c>
      <c r="P63" s="12" t="e">
        <f aca="false">IF($D63="","",_xlfn.xlookup($D63,$R:$R,$Z:$Z,""))</f>
        <v>#NAME?</v>
      </c>
      <c r="Q63" s="12"/>
      <c r="R63" s="11" t="s">
        <v>143</v>
      </c>
      <c r="S63" s="11" t="n">
        <v>70.7798824761508</v>
      </c>
      <c r="T63" s="11" t="n">
        <v>0.182724394131326</v>
      </c>
      <c r="U63" s="11" t="n">
        <v>285.539458194434</v>
      </c>
      <c r="V63" s="11" t="n">
        <v>1.84206833506059</v>
      </c>
      <c r="W63" s="11" t="n">
        <v>53.4136937827269</v>
      </c>
      <c r="X63" s="11" t="n">
        <v>0.110499394939623</v>
      </c>
      <c r="Y63" s="11" t="n">
        <v>0.598181229898948</v>
      </c>
      <c r="Z63" s="11" t="n">
        <v>0.00102628306337612</v>
      </c>
    </row>
    <row r="64" customFormat="false" ht="15" hidden="false" customHeight="false" outlineLevel="0" collapsed="false">
      <c r="B64" s="12" t="s">
        <v>208</v>
      </c>
      <c r="C64" s="5" t="s">
        <v>200</v>
      </c>
      <c r="D64" s="13" t="s">
        <v>148</v>
      </c>
      <c r="E64" s="14" t="n">
        <v>1</v>
      </c>
      <c r="F64" s="15" t="n">
        <v>1.721</v>
      </c>
      <c r="G64" s="16" t="n">
        <v>45831</v>
      </c>
      <c r="H64" s="12" t="s">
        <v>194</v>
      </c>
      <c r="I64" s="12" t="e">
        <f aca="false">IF($D64="","",_xlfn.xlookup($D64,$R:$R,$S:$S,""))</f>
        <v>#NAME?</v>
      </c>
      <c r="J64" s="12" t="e">
        <f aca="false">IF($D64="","",_xlfn.xlookup($D64,$R:$R,$T:$T,""))</f>
        <v>#NAME?</v>
      </c>
      <c r="K64" s="12" t="e">
        <f aca="false">IF($D64="","",_xlfn.xlookup($D64,$R:$R,$U:$U,""))</f>
        <v>#NAME?</v>
      </c>
      <c r="L64" s="12" t="e">
        <f aca="false">IF($D64="","",_xlfn.xlookup($D64,$R:$R,$V:$V,""))</f>
        <v>#NAME?</v>
      </c>
      <c r="M64" s="12" t="e">
        <f aca="false">IF($D64="","",_xlfn.xlookup($D64,$R:$R,$W:$W,""))</f>
        <v>#NAME?</v>
      </c>
      <c r="N64" s="12" t="e">
        <f aca="false">IF($D64="","",_xlfn.xlookup($D64,$R:$R,$X:$X,""))</f>
        <v>#NAME?</v>
      </c>
      <c r="O64" s="12" t="e">
        <f aca="false">IF($D64="","",_xlfn.xlookup($D64,$R:$R,$Y:$Y,""))</f>
        <v>#NAME?</v>
      </c>
      <c r="P64" s="12" t="e">
        <f aca="false">IF($D64="","",_xlfn.xlookup($D64,$R:$R,$Z:$Z,""))</f>
        <v>#NAME?</v>
      </c>
      <c r="Q64" s="12"/>
      <c r="R64" s="11" t="s">
        <v>140</v>
      </c>
      <c r="S64" s="11" t="n">
        <v>40.4052866747183</v>
      </c>
      <c r="T64" s="11" t="n">
        <v>0.189895728618358</v>
      </c>
      <c r="U64" s="11" t="n">
        <v>884.571062441832</v>
      </c>
      <c r="V64" s="11" t="n">
        <v>1.7459157447844</v>
      </c>
      <c r="W64" s="11" t="n">
        <v>42.9419830292427</v>
      </c>
      <c r="X64" s="11" t="n">
        <v>0.114836134571427</v>
      </c>
      <c r="Y64" s="11" t="n">
        <v>0.644251224875885</v>
      </c>
      <c r="Z64" s="11" t="n">
        <v>0.00103394667648771</v>
      </c>
    </row>
    <row r="65" customFormat="false" ht="15" hidden="false" customHeight="false" outlineLevel="0" collapsed="false">
      <c r="B65" s="12" t="s">
        <v>209</v>
      </c>
      <c r="C65" s="5" t="s">
        <v>210</v>
      </c>
      <c r="D65" s="21" t="s">
        <v>211</v>
      </c>
      <c r="E65" s="22" t="n">
        <v>1</v>
      </c>
      <c r="F65" s="23" t="n">
        <v>1.585</v>
      </c>
      <c r="G65" s="16" t="n">
        <v>45831</v>
      </c>
      <c r="H65" s="12" t="s">
        <v>194</v>
      </c>
      <c r="I65" s="12" t="e">
        <f aca="false">IF($D65="","",_xlfn.xlookup($D65,$R:$R,$S:$S,""))</f>
        <v>#NAME?</v>
      </c>
      <c r="J65" s="12" t="e">
        <f aca="false">IF($D65="","",_xlfn.xlookup($D65,$R:$R,$T:$T,""))</f>
        <v>#NAME?</v>
      </c>
      <c r="K65" s="12" t="e">
        <f aca="false">IF($D65="","",_xlfn.xlookup($D65,$R:$R,$U:$U,""))</f>
        <v>#NAME?</v>
      </c>
      <c r="L65" s="12" t="e">
        <f aca="false">IF($D65="","",_xlfn.xlookup($D65,$R:$R,$V:$V,""))</f>
        <v>#NAME?</v>
      </c>
      <c r="M65" s="12" t="e">
        <f aca="false">IF($D65="","",_xlfn.xlookup($D65,$R:$R,$W:$W,""))</f>
        <v>#NAME?</v>
      </c>
      <c r="N65" s="12" t="e">
        <f aca="false">IF($D65="","",_xlfn.xlookup($D65,$R:$R,$X:$X,""))</f>
        <v>#NAME?</v>
      </c>
      <c r="O65" s="12" t="e">
        <f aca="false">IF($D65="","",_xlfn.xlookup($D65,$R:$R,$Y:$Y,""))</f>
        <v>#NAME?</v>
      </c>
      <c r="P65" s="12" t="e">
        <f aca="false">IF($D65="","",_xlfn.xlookup($D65,$R:$R,$Z:$Z,""))</f>
        <v>#NAME?</v>
      </c>
      <c r="Q65" s="12"/>
      <c r="R65" s="11" t="s">
        <v>136</v>
      </c>
      <c r="S65" s="11" t="n">
        <v>61.5209301534294</v>
      </c>
      <c r="T65" s="11" t="n">
        <v>0.410804185290964</v>
      </c>
      <c r="U65" s="11" t="n">
        <v>1528.82369889116</v>
      </c>
      <c r="V65" s="11" t="n">
        <v>3.64419882716809</v>
      </c>
      <c r="W65" s="11" t="n">
        <v>80.0255082622311</v>
      </c>
      <c r="X65" s="11" t="n">
        <v>0.24842667630186</v>
      </c>
      <c r="Y65" s="11" t="n">
        <v>1.11480520811964</v>
      </c>
      <c r="Z65" s="11" t="n">
        <v>0.00221214453501896</v>
      </c>
    </row>
    <row r="66" customFormat="false" ht="15" hidden="false" customHeight="false" outlineLevel="0" collapsed="false">
      <c r="B66" s="12" t="s">
        <v>212</v>
      </c>
      <c r="C66" s="5" t="s">
        <v>213</v>
      </c>
      <c r="D66" s="24"/>
      <c r="E66" s="25" t="n">
        <v>1</v>
      </c>
      <c r="F66" s="26"/>
      <c r="G66" s="16" t="n">
        <v>45831</v>
      </c>
      <c r="H66" s="12" t="s">
        <v>194</v>
      </c>
      <c r="I66" s="12" t="str">
        <f aca="false">IF($D66="","",_xlfn.xlookup($D66,$R:$R,$S:$S,""))</f>
        <v/>
      </c>
      <c r="J66" s="12" t="str">
        <f aca="false">IF($D66="","",_xlfn.xlookup($D66,$R:$R,$T:$T,""))</f>
        <v/>
      </c>
      <c r="K66" s="12" t="str">
        <f aca="false">IF($D66="","",_xlfn.xlookup($D66,$R:$R,$U:$U,""))</f>
        <v/>
      </c>
      <c r="L66" s="12" t="str">
        <f aca="false">IF($D66="","",_xlfn.xlookup($D66,$R:$R,$V:$V,""))</f>
        <v/>
      </c>
      <c r="M66" s="12" t="str">
        <f aca="false">IF($D66="","",_xlfn.xlookup($D66,$R:$R,$W:$W,""))</f>
        <v/>
      </c>
      <c r="N66" s="12" t="str">
        <f aca="false">IF($D66="","",_xlfn.xlookup($D66,$R:$R,$X:$X,""))</f>
        <v/>
      </c>
      <c r="O66" s="12" t="str">
        <f aca="false">IF($D66="","",_xlfn.xlookup($D66,$R:$R,$Y:$Y,""))</f>
        <v/>
      </c>
      <c r="P66" s="12" t="str">
        <f aca="false">IF($D66="","",_xlfn.xlookup($D66,$R:$R,$Z:$Z,""))</f>
        <v/>
      </c>
      <c r="Q66" s="12"/>
      <c r="R66" s="11" t="s">
        <v>132</v>
      </c>
      <c r="S66" s="11" t="n">
        <v>25.4595457432395</v>
      </c>
      <c r="T66" s="11" t="n">
        <v>0.159369319528068</v>
      </c>
      <c r="U66" s="11" t="n">
        <v>529.235564582357</v>
      </c>
      <c r="V66" s="11" t="n">
        <v>1.51428051143923</v>
      </c>
      <c r="W66" s="11" t="n">
        <v>24.7333899701508</v>
      </c>
      <c r="X66" s="11" t="n">
        <v>0.0963758203359228</v>
      </c>
      <c r="Y66" s="11" t="n">
        <v>0.384943957189004</v>
      </c>
      <c r="Z66" s="11" t="n">
        <v>0.000877038621075908</v>
      </c>
    </row>
    <row r="67" customFormat="false" ht="15" hidden="false" customHeight="false" outlineLevel="0" collapsed="false">
      <c r="B67" s="12" t="s">
        <v>214</v>
      </c>
      <c r="C67" s="5" t="s">
        <v>215</v>
      </c>
      <c r="D67" s="24"/>
      <c r="E67" s="25" t="n">
        <v>1</v>
      </c>
      <c r="F67" s="26"/>
      <c r="G67" s="16" t="n">
        <v>45832</v>
      </c>
      <c r="H67" s="12" t="s">
        <v>194</v>
      </c>
      <c r="I67" s="12" t="str">
        <f aca="false">IF($D67="","",_xlfn.xlookup($D67,$R:$R,$S:$S,""))</f>
        <v/>
      </c>
      <c r="J67" s="12" t="str">
        <f aca="false">IF($D67="","",_xlfn.xlookup($D67,$R:$R,$T:$T,""))</f>
        <v/>
      </c>
      <c r="K67" s="12" t="str">
        <f aca="false">IF($D67="","",_xlfn.xlookup($D67,$R:$R,$U:$U,""))</f>
        <v/>
      </c>
      <c r="L67" s="12" t="str">
        <f aca="false">IF($D67="","",_xlfn.xlookup($D67,$R:$R,$V:$V,""))</f>
        <v/>
      </c>
      <c r="M67" s="12" t="str">
        <f aca="false">IF($D67="","",_xlfn.xlookup($D67,$R:$R,$W:$W,""))</f>
        <v/>
      </c>
      <c r="N67" s="12" t="str">
        <f aca="false">IF($D67="","",_xlfn.xlookup($D67,$R:$R,$X:$X,""))</f>
        <v/>
      </c>
      <c r="O67" s="12" t="str">
        <f aca="false">IF($D67="","",_xlfn.xlookup($D67,$R:$R,$Y:$Y,""))</f>
        <v/>
      </c>
      <c r="P67" s="12" t="str">
        <f aca="false">IF($D67="","",_xlfn.xlookup($D67,$R:$R,$Z:$Z,""))</f>
        <v/>
      </c>
      <c r="Q67" s="12"/>
      <c r="R67" s="11" t="s">
        <v>128</v>
      </c>
      <c r="S67" s="11" t="n">
        <v>47.4829866484059</v>
      </c>
      <c r="T67" s="11" t="n">
        <v>0.152833533679839</v>
      </c>
      <c r="U67" s="11" t="n">
        <v>640.516440005395</v>
      </c>
      <c r="V67" s="11" t="n">
        <v>1.82157880972738</v>
      </c>
      <c r="W67" s="11" t="n">
        <v>44.9110114603112</v>
      </c>
      <c r="X67" s="11" t="n">
        <v>0.0924234176744304</v>
      </c>
      <c r="Y67" s="11" t="n">
        <v>0.596337159464707</v>
      </c>
      <c r="Z67" s="11" t="n">
        <v>0.000917480129487795</v>
      </c>
    </row>
    <row r="68" customFormat="false" ht="15" hidden="false" customHeight="false" outlineLevel="0" collapsed="false">
      <c r="B68" s="12" t="s">
        <v>216</v>
      </c>
      <c r="C68" s="5" t="s">
        <v>217</v>
      </c>
      <c r="D68" s="21" t="s">
        <v>218</v>
      </c>
      <c r="E68" s="22" t="n">
        <v>1</v>
      </c>
      <c r="F68" s="23" t="n">
        <v>1.832</v>
      </c>
      <c r="G68" s="16" t="n">
        <v>45832</v>
      </c>
      <c r="H68" s="12" t="s">
        <v>194</v>
      </c>
      <c r="I68" s="12" t="e">
        <f aca="false">IF($D68="","",_xlfn.xlookup($D68,$R:$R,$S:$S,""))</f>
        <v>#NAME?</v>
      </c>
      <c r="J68" s="12" t="e">
        <f aca="false">IF($D68="","",_xlfn.xlookup($D68,$R:$R,$T:$T,""))</f>
        <v>#NAME?</v>
      </c>
      <c r="K68" s="12" t="e">
        <f aca="false">IF($D68="","",_xlfn.xlookup($D68,$R:$R,$U:$U,""))</f>
        <v>#NAME?</v>
      </c>
      <c r="L68" s="12" t="e">
        <f aca="false">IF($D68="","",_xlfn.xlookup($D68,$R:$R,$V:$V,""))</f>
        <v>#NAME?</v>
      </c>
      <c r="M68" s="12" t="e">
        <f aca="false">IF($D68="","",_xlfn.xlookup($D68,$R:$R,$W:$W,""))</f>
        <v>#NAME?</v>
      </c>
      <c r="N68" s="12" t="e">
        <f aca="false">IF($D68="","",_xlfn.xlookup($D68,$R:$R,$X:$X,""))</f>
        <v>#NAME?</v>
      </c>
      <c r="O68" s="12" t="e">
        <f aca="false">IF($D68="","",_xlfn.xlookup($D68,$R:$R,$Y:$Y,""))</f>
        <v>#NAME?</v>
      </c>
      <c r="P68" s="12" t="e">
        <f aca="false">IF($D68="","",_xlfn.xlookup($D68,$R:$R,$Z:$Z,""))</f>
        <v>#NAME?</v>
      </c>
      <c r="Q68" s="12"/>
      <c r="R68" s="11" t="s">
        <v>125</v>
      </c>
      <c r="S68" s="11" t="n">
        <v>54.1590783789392</v>
      </c>
      <c r="T68" s="11" t="n">
        <v>0.169609716993175</v>
      </c>
      <c r="U68" s="11" t="n">
        <v>816.827394298347</v>
      </c>
      <c r="V68" s="11" t="n">
        <v>1.96469070095321</v>
      </c>
      <c r="W68" s="11" t="n">
        <v>49.4766558446176</v>
      </c>
      <c r="X68" s="11" t="n">
        <v>0.102568522351518</v>
      </c>
      <c r="Y68" s="11" t="n">
        <v>0.700189338585668</v>
      </c>
      <c r="Z68" s="11" t="n">
        <v>0.0010057514084378</v>
      </c>
    </row>
    <row r="69" customFormat="false" ht="15" hidden="false" customHeight="false" outlineLevel="0" collapsed="false">
      <c r="B69" s="12" t="s">
        <v>219</v>
      </c>
      <c r="C69" s="5" t="s">
        <v>220</v>
      </c>
      <c r="D69" s="21" t="s">
        <v>221</v>
      </c>
      <c r="E69" s="22" t="n">
        <v>1</v>
      </c>
      <c r="F69" s="23" t="n">
        <v>1.801</v>
      </c>
      <c r="G69" s="16" t="n">
        <v>45828</v>
      </c>
      <c r="H69" s="12" t="s">
        <v>194</v>
      </c>
      <c r="I69" s="12" t="e">
        <f aca="false">IF($D69="","",_xlfn.xlookup($D69,$R:$R,$S:$S,""))</f>
        <v>#NAME?</v>
      </c>
      <c r="J69" s="12" t="e">
        <f aca="false">IF($D69="","",_xlfn.xlookup($D69,$R:$R,$T:$T,""))</f>
        <v>#NAME?</v>
      </c>
      <c r="K69" s="12" t="e">
        <f aca="false">IF($D69="","",_xlfn.xlookup($D69,$R:$R,$U:$U,""))</f>
        <v>#NAME?</v>
      </c>
      <c r="L69" s="12" t="e">
        <f aca="false">IF($D69="","",_xlfn.xlookup($D69,$R:$R,$V:$V,""))</f>
        <v>#NAME?</v>
      </c>
      <c r="M69" s="12" t="e">
        <f aca="false">IF($D69="","",_xlfn.xlookup($D69,$R:$R,$W:$W,""))</f>
        <v>#NAME?</v>
      </c>
      <c r="N69" s="12" t="e">
        <f aca="false">IF($D69="","",_xlfn.xlookup($D69,$R:$R,$X:$X,""))</f>
        <v>#NAME?</v>
      </c>
      <c r="O69" s="12" t="e">
        <f aca="false">IF($D69="","",_xlfn.xlookup($D69,$R:$R,$Y:$Y,""))</f>
        <v>#NAME?</v>
      </c>
      <c r="P69" s="12" t="e">
        <f aca="false">IF($D69="","",_xlfn.xlookup($D69,$R:$R,$Z:$Z,""))</f>
        <v>#NAME?</v>
      </c>
      <c r="Q69" s="12"/>
      <c r="R69" s="11" t="s">
        <v>122</v>
      </c>
      <c r="S69" s="11" t="n">
        <v>41.2334495196338</v>
      </c>
      <c r="T69" s="11" t="n">
        <v>0.116885544646681</v>
      </c>
      <c r="U69" s="11" t="n">
        <v>378.553549806007</v>
      </c>
      <c r="V69" s="11" t="n">
        <v>1.306710709262</v>
      </c>
      <c r="W69" s="11" t="n">
        <v>36.5517946790389</v>
      </c>
      <c r="X69" s="11" t="n">
        <v>0.0706844973931824</v>
      </c>
      <c r="Y69" s="11" t="n">
        <v>0.44638832172931</v>
      </c>
      <c r="Z69" s="11" t="n">
        <v>0.000682957866040036</v>
      </c>
    </row>
    <row r="70" customFormat="false" ht="15" hidden="false" customHeight="false" outlineLevel="0" collapsed="false">
      <c r="B70" s="12" t="s">
        <v>222</v>
      </c>
      <c r="C70" s="5" t="s">
        <v>223</v>
      </c>
      <c r="D70" s="13" t="s">
        <v>144</v>
      </c>
      <c r="E70" s="14" t="n">
        <v>1</v>
      </c>
      <c r="F70" s="15" t="n">
        <v>0.722</v>
      </c>
      <c r="G70" s="16" t="n">
        <v>45828</v>
      </c>
      <c r="H70" s="12" t="s">
        <v>194</v>
      </c>
      <c r="I70" s="12" t="e">
        <f aca="false">IF($D70="","",_xlfn.xlookup($D70,$R:$R,$S:$S,""))</f>
        <v>#NAME?</v>
      </c>
      <c r="J70" s="12" t="e">
        <f aca="false">IF($D70="","",_xlfn.xlookup($D70,$R:$R,$T:$T,""))</f>
        <v>#NAME?</v>
      </c>
      <c r="K70" s="12" t="e">
        <f aca="false">IF($D70="","",_xlfn.xlookup($D70,$R:$R,$U:$U,""))</f>
        <v>#NAME?</v>
      </c>
      <c r="L70" s="12" t="e">
        <f aca="false">IF($D70="","",_xlfn.xlookup($D70,$R:$R,$V:$V,""))</f>
        <v>#NAME?</v>
      </c>
      <c r="M70" s="12" t="e">
        <f aca="false">IF($D70="","",_xlfn.xlookup($D70,$R:$R,$W:$W,""))</f>
        <v>#NAME?</v>
      </c>
      <c r="N70" s="12" t="e">
        <f aca="false">IF($D70="","",_xlfn.xlookup($D70,$R:$R,$X:$X,""))</f>
        <v>#NAME?</v>
      </c>
      <c r="O70" s="12" t="e">
        <f aca="false">IF($D70="","",_xlfn.xlookup($D70,$R:$R,$Y:$Y,""))</f>
        <v>#NAME?</v>
      </c>
      <c r="P70" s="12" t="e">
        <f aca="false">IF($D70="","",_xlfn.xlookup($D70,$R:$R,$Z:$Z,""))</f>
        <v>#NAME?</v>
      </c>
      <c r="Q70" s="12"/>
      <c r="R70" s="11" t="s">
        <v>119</v>
      </c>
      <c r="S70" s="11" t="n">
        <v>54.7831322509816</v>
      </c>
      <c r="T70" s="11" t="n">
        <v>0.164230890646174</v>
      </c>
      <c r="U70" s="11" t="n">
        <v>453.791471536448</v>
      </c>
      <c r="V70" s="11" t="n">
        <v>1.88999738335177</v>
      </c>
      <c r="W70" s="11" t="n">
        <v>50.3122407893272</v>
      </c>
      <c r="X70" s="11" t="n">
        <v>0.0993157707982596</v>
      </c>
      <c r="Y70" s="11" t="n">
        <v>0.585435468628724</v>
      </c>
      <c r="Z70" s="11" t="n">
        <v>0.00097117246880035</v>
      </c>
    </row>
    <row r="71" customFormat="false" ht="15" hidden="false" customHeight="false" outlineLevel="0" collapsed="false">
      <c r="B71" s="12" t="s">
        <v>224</v>
      </c>
      <c r="C71" s="5" t="s">
        <v>225</v>
      </c>
      <c r="D71" s="13" t="s">
        <v>141</v>
      </c>
      <c r="E71" s="14" t="n">
        <v>1</v>
      </c>
      <c r="F71" s="15" t="n">
        <v>1.525</v>
      </c>
      <c r="G71" s="16" t="n">
        <v>45835</v>
      </c>
      <c r="H71" s="12"/>
      <c r="I71" s="12" t="e">
        <f aca="false">IF($D71="","",_xlfn.xlookup($D71,$R:$R,$S:$S,""))</f>
        <v>#NAME?</v>
      </c>
      <c r="J71" s="12" t="e">
        <f aca="false">IF($D71="","",_xlfn.xlookup($D71,$R:$R,$T:$T,""))</f>
        <v>#NAME?</v>
      </c>
      <c r="K71" s="12" t="e">
        <f aca="false">IF($D71="","",_xlfn.xlookup($D71,$R:$R,$U:$U,""))</f>
        <v>#NAME?</v>
      </c>
      <c r="L71" s="12" t="e">
        <f aca="false">IF($D71="","",_xlfn.xlookup($D71,$R:$R,$V:$V,""))</f>
        <v>#NAME?</v>
      </c>
      <c r="M71" s="12" t="e">
        <f aca="false">IF($D71="","",_xlfn.xlookup($D71,$R:$R,$W:$W,""))</f>
        <v>#NAME?</v>
      </c>
      <c r="N71" s="12" t="e">
        <f aca="false">IF($D71="","",_xlfn.xlookup($D71,$R:$R,$X:$X,""))</f>
        <v>#NAME?</v>
      </c>
      <c r="O71" s="12" t="e">
        <f aca="false">IF($D71="","",_xlfn.xlookup($D71,$R:$R,$Y:$Y,""))</f>
        <v>#NAME?</v>
      </c>
      <c r="P71" s="12" t="e">
        <f aca="false">IF($D71="","",_xlfn.xlookup($D71,$R:$R,$Z:$Z,""))</f>
        <v>#NAME?</v>
      </c>
      <c r="Q71" s="12"/>
      <c r="R71" s="11" t="s">
        <v>116</v>
      </c>
      <c r="S71" s="11" t="n">
        <v>51.691494686331</v>
      </c>
      <c r="T71" s="11" t="n">
        <v>0.181490609767653</v>
      </c>
      <c r="U71" s="11" t="n">
        <v>748.276527900143</v>
      </c>
      <c r="V71" s="11" t="n">
        <v>2.52078609657808</v>
      </c>
      <c r="W71" s="11" t="n">
        <v>46.6093591635551</v>
      </c>
      <c r="X71" s="11" t="n">
        <v>0.109753285333842</v>
      </c>
      <c r="Y71" s="11" t="n">
        <v>0.654777287405593</v>
      </c>
      <c r="Z71" s="11" t="n">
        <v>0.0011718242192524</v>
      </c>
    </row>
    <row r="72" customFormat="false" ht="15" hidden="false" customHeight="false" outlineLevel="0" collapsed="false">
      <c r="B72" s="12" t="s">
        <v>226</v>
      </c>
      <c r="C72" s="5" t="s">
        <v>223</v>
      </c>
      <c r="D72" s="13" t="s">
        <v>137</v>
      </c>
      <c r="E72" s="14" t="n">
        <v>1</v>
      </c>
      <c r="F72" s="15" t="n">
        <v>0.692</v>
      </c>
      <c r="G72" s="16" t="n">
        <v>45844</v>
      </c>
      <c r="H72" s="12"/>
      <c r="I72" s="12" t="e">
        <f aca="false">IF($D72="","",_xlfn.xlookup($D72,$R:$R,$S:$S,""))</f>
        <v>#NAME?</v>
      </c>
      <c r="J72" s="12" t="e">
        <f aca="false">IF($D72="","",_xlfn.xlookup($D72,$R:$R,$T:$T,""))</f>
        <v>#NAME?</v>
      </c>
      <c r="K72" s="12" t="e">
        <f aca="false">IF($D72="","",_xlfn.xlookup($D72,$R:$R,$U:$U,""))</f>
        <v>#NAME?</v>
      </c>
      <c r="L72" s="12" t="e">
        <f aca="false">IF($D72="","",_xlfn.xlookup($D72,$R:$R,$V:$V,""))</f>
        <v>#NAME?</v>
      </c>
      <c r="M72" s="12" t="e">
        <f aca="false">IF($D72="","",_xlfn.xlookup($D72,$R:$R,$W:$W,""))</f>
        <v>#NAME?</v>
      </c>
      <c r="N72" s="12" t="e">
        <f aca="false">IF($D72="","",_xlfn.xlookup($D72,$R:$R,$X:$X,""))</f>
        <v>#NAME?</v>
      </c>
      <c r="O72" s="12" t="e">
        <f aca="false">IF($D72="","",_xlfn.xlookup($D72,$R:$R,$Y:$Y,""))</f>
        <v>#NAME?</v>
      </c>
      <c r="P72" s="12" t="e">
        <f aca="false">IF($D72="","",_xlfn.xlookup($D72,$R:$R,$Z:$Z,""))</f>
        <v>#NAME?</v>
      </c>
      <c r="Q72" s="12"/>
      <c r="R72" s="11" t="s">
        <v>113</v>
      </c>
      <c r="S72" s="11" t="n">
        <v>74.73457376438</v>
      </c>
      <c r="T72" s="11" t="n">
        <v>0.365959224638421</v>
      </c>
      <c r="U72" s="11" t="n">
        <v>1043.18199548255</v>
      </c>
      <c r="V72" s="11" t="n">
        <v>2.80919347789987</v>
      </c>
      <c r="W72" s="11" t="n">
        <v>91.2828441862702</v>
      </c>
      <c r="X72" s="11" t="n">
        <v>0.2213074673875</v>
      </c>
      <c r="Y72" s="11" t="n">
        <v>1.05325679864013</v>
      </c>
      <c r="Z72" s="11" t="n">
        <v>0.00189455381168705</v>
      </c>
    </row>
    <row r="73" customFormat="false" ht="15" hidden="false" customHeight="false" outlineLevel="0" collapsed="false">
      <c r="B73" s="12" t="s">
        <v>227</v>
      </c>
      <c r="C73" s="5" t="s">
        <v>223</v>
      </c>
      <c r="D73" s="21" t="s">
        <v>228</v>
      </c>
      <c r="E73" s="22" t="n">
        <v>1</v>
      </c>
      <c r="F73" s="23" t="n">
        <v>1.361</v>
      </c>
      <c r="G73" s="16" t="n">
        <v>45854</v>
      </c>
      <c r="H73" s="12" t="s">
        <v>194</v>
      </c>
      <c r="I73" s="12" t="e">
        <f aca="false">IF($D73="","",_xlfn.xlookup($D73,$R:$R,$S:$S,""))</f>
        <v>#NAME?</v>
      </c>
      <c r="J73" s="12" t="e">
        <f aca="false">IF($D73="","",_xlfn.xlookup($D73,$R:$R,$T:$T,""))</f>
        <v>#NAME?</v>
      </c>
      <c r="K73" s="12" t="e">
        <f aca="false">IF($D73="","",_xlfn.xlookup($D73,$R:$R,$U:$U,""))</f>
        <v>#NAME?</v>
      </c>
      <c r="L73" s="12" t="e">
        <f aca="false">IF($D73="","",_xlfn.xlookup($D73,$R:$R,$V:$V,""))</f>
        <v>#NAME?</v>
      </c>
      <c r="M73" s="12" t="e">
        <f aca="false">IF($D73="","",_xlfn.xlookup($D73,$R:$R,$W:$W,""))</f>
        <v>#NAME?</v>
      </c>
      <c r="N73" s="12" t="e">
        <f aca="false">IF($D73="","",_xlfn.xlookup($D73,$R:$R,$X:$X,""))</f>
        <v>#NAME?</v>
      </c>
      <c r="O73" s="12" t="e">
        <f aca="false">IF($D73="","",_xlfn.xlookup($D73,$R:$R,$Y:$Y,""))</f>
        <v>#NAME?</v>
      </c>
      <c r="P73" s="12" t="e">
        <f aca="false">IF($D73="","",_xlfn.xlookup($D73,$R:$R,$Z:$Z,""))</f>
        <v>#NAME?</v>
      </c>
      <c r="Q73" s="12"/>
      <c r="R73" s="11" t="s">
        <v>110</v>
      </c>
      <c r="S73" s="11" t="n">
        <v>61.6900813477437</v>
      </c>
      <c r="T73" s="11" t="n">
        <v>0.168616788471208</v>
      </c>
      <c r="U73" s="11" t="n">
        <v>750.506519655277</v>
      </c>
      <c r="V73" s="11" t="n">
        <v>1.67996974550507</v>
      </c>
      <c r="W73" s="11" t="n">
        <v>55.7795750739541</v>
      </c>
      <c r="X73" s="11" t="n">
        <v>0.101968066121154</v>
      </c>
      <c r="Y73" s="11" t="n">
        <v>0.734700319747342</v>
      </c>
      <c r="Z73" s="11" t="n">
        <v>0.000943097434913075</v>
      </c>
    </row>
    <row r="74" customFormat="false" ht="15" hidden="false" customHeight="false" outlineLevel="0" collapsed="false">
      <c r="B74" s="12" t="s">
        <v>229</v>
      </c>
      <c r="C74" s="5" t="s">
        <v>200</v>
      </c>
      <c r="D74" s="21" t="s">
        <v>230</v>
      </c>
      <c r="E74" s="22" t="n">
        <v>1</v>
      </c>
      <c r="F74" s="23" t="n">
        <v>1.75</v>
      </c>
      <c r="G74" s="16" t="n">
        <v>45855</v>
      </c>
      <c r="H74" s="12" t="s">
        <v>194</v>
      </c>
      <c r="I74" s="12" t="e">
        <f aca="false">IF($D74="","",_xlfn.xlookup($D74,$R:$R,$S:$S,""))</f>
        <v>#NAME?</v>
      </c>
      <c r="J74" s="12" t="e">
        <f aca="false">IF($D74="","",_xlfn.xlookup($D74,$R:$R,$T:$T,""))</f>
        <v>#NAME?</v>
      </c>
      <c r="K74" s="12" t="e">
        <f aca="false">IF($D74="","",_xlfn.xlookup($D74,$R:$R,$U:$U,""))</f>
        <v>#NAME?</v>
      </c>
      <c r="L74" s="12" t="e">
        <f aca="false">IF($D74="","",_xlfn.xlookup($D74,$R:$R,$V:$V,""))</f>
        <v>#NAME?</v>
      </c>
      <c r="M74" s="12" t="e">
        <f aca="false">IF($D74="","",_xlfn.xlookup($D74,$R:$R,$W:$W,""))</f>
        <v>#NAME?</v>
      </c>
      <c r="N74" s="12" t="e">
        <f aca="false">IF($D74="","",_xlfn.xlookup($D74,$R:$R,$X:$X,""))</f>
        <v>#NAME?</v>
      </c>
      <c r="O74" s="12" t="e">
        <f aca="false">IF($D74="","",_xlfn.xlookup($D74,$R:$R,$Y:$Y,""))</f>
        <v>#NAME?</v>
      </c>
      <c r="P74" s="12" t="e">
        <f aca="false">IF($D74="","",_xlfn.xlookup($D74,$R:$R,$Z:$Z,""))</f>
        <v>#NAME?</v>
      </c>
      <c r="Q74" s="12"/>
      <c r="R74" s="11" t="s">
        <v>107</v>
      </c>
      <c r="S74" s="11" t="n">
        <v>77.7910244177975</v>
      </c>
      <c r="T74" s="11" t="n">
        <v>0.28364775314063</v>
      </c>
      <c r="U74" s="11" t="n">
        <v>860.17047710303</v>
      </c>
      <c r="V74" s="11" t="n">
        <v>2.46927549455527</v>
      </c>
      <c r="W74" s="11" t="n">
        <v>66.7288255653379</v>
      </c>
      <c r="X74" s="11" t="n">
        <v>0.171531038573299</v>
      </c>
      <c r="Y74" s="11" t="n">
        <v>0.879671034920358</v>
      </c>
      <c r="Z74" s="11" t="n">
        <v>0.00151888402464301</v>
      </c>
    </row>
    <row r="75" customFormat="false" ht="15" hidden="false" customHeight="false" outlineLevel="0" collapsed="false">
      <c r="B75" s="12" t="s">
        <v>231</v>
      </c>
      <c r="C75" s="5" t="s">
        <v>200</v>
      </c>
      <c r="D75" s="21" t="s">
        <v>232</v>
      </c>
      <c r="E75" s="22" t="n">
        <v>1</v>
      </c>
      <c r="F75" s="23" t="n">
        <v>1.566</v>
      </c>
      <c r="G75" s="16" t="n">
        <v>45855</v>
      </c>
      <c r="H75" s="12" t="s">
        <v>194</v>
      </c>
      <c r="I75" s="12" t="e">
        <f aca="false">IF($D75="","",_xlfn.xlookup($D75,$R:$R,$S:$S,""))</f>
        <v>#NAME?</v>
      </c>
      <c r="J75" s="12" t="e">
        <f aca="false">IF($D75="","",_xlfn.xlookup($D75,$R:$R,$T:$T,""))</f>
        <v>#NAME?</v>
      </c>
      <c r="K75" s="12" t="e">
        <f aca="false">IF($D75="","",_xlfn.xlookup($D75,$R:$R,$U:$U,""))</f>
        <v>#NAME?</v>
      </c>
      <c r="L75" s="12" t="e">
        <f aca="false">IF($D75="","",_xlfn.xlookup($D75,$R:$R,$V:$V,""))</f>
        <v>#NAME?</v>
      </c>
      <c r="M75" s="12" t="e">
        <f aca="false">IF($D75="","",_xlfn.xlookup($D75,$R:$R,$W:$W,""))</f>
        <v>#NAME?</v>
      </c>
      <c r="N75" s="12" t="e">
        <f aca="false">IF($D75="","",_xlfn.xlookup($D75,$R:$R,$X:$X,""))</f>
        <v>#NAME?</v>
      </c>
      <c r="O75" s="12" t="e">
        <f aca="false">IF($D75="","",_xlfn.xlookup($D75,$R:$R,$Y:$Y,""))</f>
        <v>#NAME?</v>
      </c>
      <c r="P75" s="12" t="e">
        <f aca="false">IF($D75="","",_xlfn.xlookup($D75,$R:$R,$Z:$Z,""))</f>
        <v>#NAME?</v>
      </c>
      <c r="Q75" s="12"/>
      <c r="R75" s="11" t="s">
        <v>103</v>
      </c>
      <c r="S75" s="11" t="n">
        <v>50.3106331806012</v>
      </c>
      <c r="T75" s="11" t="n">
        <v>0.155765062397814</v>
      </c>
      <c r="U75" s="11" t="n">
        <v>671.475093827537</v>
      </c>
      <c r="V75" s="11" t="n">
        <v>1.81099474152354</v>
      </c>
      <c r="W75" s="11" t="n">
        <v>43.9787633057236</v>
      </c>
      <c r="X75" s="11" t="n">
        <v>0.0941962086097858</v>
      </c>
      <c r="Y75" s="11" t="n">
        <v>0.611420958406468</v>
      </c>
      <c r="Z75" s="11" t="n">
        <v>0.000925105742088648</v>
      </c>
    </row>
    <row r="76" customFormat="false" ht="15" hidden="false" customHeight="false" outlineLevel="0" collapsed="false">
      <c r="B76" s="12" t="s">
        <v>233</v>
      </c>
      <c r="C76" s="5" t="s">
        <v>234</v>
      </c>
      <c r="D76" s="21" t="s">
        <v>235</v>
      </c>
      <c r="E76" s="22" t="n">
        <v>1</v>
      </c>
      <c r="F76" s="23" t="n">
        <v>1.635</v>
      </c>
      <c r="G76" s="16" t="n">
        <v>45855</v>
      </c>
      <c r="H76" s="12" t="s">
        <v>194</v>
      </c>
      <c r="I76" s="12" t="e">
        <f aca="false">IF($D76="","",_xlfn.xlookup($D76,$R:$R,$S:$S,""))</f>
        <v>#NAME?</v>
      </c>
      <c r="J76" s="12" t="e">
        <f aca="false">IF($D76="","",_xlfn.xlookup($D76,$R:$R,$T:$T,""))</f>
        <v>#NAME?</v>
      </c>
      <c r="K76" s="12" t="e">
        <f aca="false">IF($D76="","",_xlfn.xlookup($D76,$R:$R,$U:$U,""))</f>
        <v>#NAME?</v>
      </c>
      <c r="L76" s="12" t="e">
        <f aca="false">IF($D76="","",_xlfn.xlookup($D76,$R:$R,$V:$V,""))</f>
        <v>#NAME?</v>
      </c>
      <c r="M76" s="12" t="e">
        <f aca="false">IF($D76="","",_xlfn.xlookup($D76,$R:$R,$W:$W,""))</f>
        <v>#NAME?</v>
      </c>
      <c r="N76" s="12" t="e">
        <f aca="false">IF($D76="","",_xlfn.xlookup($D76,$R:$R,$X:$X,""))</f>
        <v>#NAME?</v>
      </c>
      <c r="O76" s="12" t="e">
        <f aca="false">IF($D76="","",_xlfn.xlookup($D76,$R:$R,$Y:$Y,""))</f>
        <v>#NAME?</v>
      </c>
      <c r="P76" s="12" t="e">
        <f aca="false">IF($D76="","",_xlfn.xlookup($D76,$R:$R,$Z:$Z,""))</f>
        <v>#NAME?</v>
      </c>
      <c r="Q76" s="12"/>
      <c r="R76" s="11" t="s">
        <v>100</v>
      </c>
      <c r="S76" s="11" t="n">
        <v>34.7816777468546</v>
      </c>
      <c r="T76" s="11" t="n">
        <v>0.126494239064283</v>
      </c>
      <c r="U76" s="11" t="n">
        <v>487.630255414799</v>
      </c>
      <c r="V76" s="11" t="n">
        <v>1.40112497326803</v>
      </c>
      <c r="W76" s="11" t="n">
        <v>26.5696532676977</v>
      </c>
      <c r="X76" s="11" t="n">
        <v>0.0764951879928277</v>
      </c>
      <c r="Y76" s="11" t="n">
        <v>0.411330610632937</v>
      </c>
      <c r="Z76" s="11" t="n">
        <v>0.000736343899443098</v>
      </c>
    </row>
    <row r="77" customFormat="false" ht="15" hidden="false" customHeight="false" outlineLevel="0" collapsed="false">
      <c r="B77" s="12" t="s">
        <v>236</v>
      </c>
      <c r="C77" s="5" t="s">
        <v>234</v>
      </c>
      <c r="D77" s="21" t="s">
        <v>237</v>
      </c>
      <c r="E77" s="22" t="n">
        <v>1</v>
      </c>
      <c r="F77" s="23" t="n">
        <v>1.557</v>
      </c>
      <c r="G77" s="16" t="n">
        <v>45855</v>
      </c>
      <c r="H77" s="12" t="s">
        <v>194</v>
      </c>
      <c r="I77" s="12" t="e">
        <f aca="false">IF($D77="","",_xlfn.xlookup($D77,$R:$R,$S:$S,""))</f>
        <v>#NAME?</v>
      </c>
      <c r="J77" s="12" t="e">
        <f aca="false">IF($D77="","",_xlfn.xlookup($D77,$R:$R,$T:$T,""))</f>
        <v>#NAME?</v>
      </c>
      <c r="K77" s="12" t="e">
        <f aca="false">IF($D77="","",_xlfn.xlookup($D77,$R:$R,$U:$U,""))</f>
        <v>#NAME?</v>
      </c>
      <c r="L77" s="12" t="e">
        <f aca="false">IF($D77="","",_xlfn.xlookup($D77,$R:$R,$V:$V,""))</f>
        <v>#NAME?</v>
      </c>
      <c r="M77" s="12" t="e">
        <f aca="false">IF($D77="","",_xlfn.xlookup($D77,$R:$R,$W:$W,""))</f>
        <v>#NAME?</v>
      </c>
      <c r="N77" s="12" t="e">
        <f aca="false">IF($D77="","",_xlfn.xlookup($D77,$R:$R,$X:$X,""))</f>
        <v>#NAME?</v>
      </c>
      <c r="O77" s="12" t="e">
        <f aca="false">IF($D77="","",_xlfn.xlookup($D77,$R:$R,$Y:$Y,""))</f>
        <v>#NAME?</v>
      </c>
      <c r="P77" s="12" t="e">
        <f aca="false">IF($D77="","",_xlfn.xlookup($D77,$R:$R,$Z:$Z,""))</f>
        <v>#NAME?</v>
      </c>
      <c r="Q77" s="12"/>
      <c r="R77" s="11" t="s">
        <v>96</v>
      </c>
      <c r="S77" s="11" t="n">
        <v>6.59301693202549</v>
      </c>
      <c r="T77" s="11" t="n">
        <v>0.394404341615521</v>
      </c>
      <c r="U77" s="11" t="n">
        <v>4226.81680539402</v>
      </c>
      <c r="V77" s="11" t="n">
        <v>7.70553846169156</v>
      </c>
      <c r="W77" s="11" t="n">
        <v>13.6379680236175</v>
      </c>
      <c r="X77" s="11" t="n">
        <v>0.238509156466285</v>
      </c>
      <c r="Y77" s="11" t="n">
        <v>1.49910549835618</v>
      </c>
      <c r="Z77" s="11" t="n">
        <v>0.00312214830667271</v>
      </c>
    </row>
    <row r="78" customFormat="false" ht="15" hidden="false" customHeight="false" outlineLevel="0" collapsed="false">
      <c r="B78" s="12" t="s">
        <v>238</v>
      </c>
      <c r="C78" s="5" t="s">
        <v>239</v>
      </c>
      <c r="D78" s="21" t="s">
        <v>240</v>
      </c>
      <c r="E78" s="22" t="n">
        <v>1</v>
      </c>
      <c r="F78" s="23" t="n">
        <v>1.868</v>
      </c>
      <c r="G78" s="16" t="n">
        <v>45859</v>
      </c>
      <c r="H78" s="12" t="s">
        <v>194</v>
      </c>
      <c r="I78" s="12" t="e">
        <f aca="false">IF($D78="","",_xlfn.xlookup($D78,$R:$R,$S:$S,""))</f>
        <v>#NAME?</v>
      </c>
      <c r="J78" s="12" t="e">
        <f aca="false">IF($D78="","",_xlfn.xlookup($D78,$R:$R,$T:$T,""))</f>
        <v>#NAME?</v>
      </c>
      <c r="K78" s="12" t="e">
        <f aca="false">IF($D78="","",_xlfn.xlookup($D78,$R:$R,$U:$U,""))</f>
        <v>#NAME?</v>
      </c>
      <c r="L78" s="12" t="e">
        <f aca="false">IF($D78="","",_xlfn.xlookup($D78,$R:$R,$V:$V,""))</f>
        <v>#NAME?</v>
      </c>
      <c r="M78" s="12" t="e">
        <f aca="false">IF($D78="","",_xlfn.xlookup($D78,$R:$R,$W:$W,""))</f>
        <v>#NAME?</v>
      </c>
      <c r="N78" s="12" t="e">
        <f aca="false">IF($D78="","",_xlfn.xlookup($D78,$R:$R,$X:$X,""))</f>
        <v>#NAME?</v>
      </c>
      <c r="O78" s="12" t="e">
        <f aca="false">IF($D78="","",_xlfn.xlookup($D78,$R:$R,$Y:$Y,""))</f>
        <v>#NAME?</v>
      </c>
      <c r="P78" s="12" t="e">
        <f aca="false">IF($D78="","",_xlfn.xlookup($D78,$R:$R,$Z:$Z,""))</f>
        <v>#NAME?</v>
      </c>
      <c r="Q78" s="12"/>
      <c r="R78" s="11" t="s">
        <v>92</v>
      </c>
      <c r="S78" s="11" t="n">
        <v>87.8631695045697</v>
      </c>
      <c r="T78" s="11" t="n">
        <v>0.217880652152918</v>
      </c>
      <c r="U78" s="11" t="n">
        <v>279.733353387252</v>
      </c>
      <c r="V78" s="11" t="n">
        <v>1.96121373067033</v>
      </c>
      <c r="W78" s="11" t="n">
        <v>76.5538540587602</v>
      </c>
      <c r="X78" s="11" t="n">
        <v>0.131759529680775</v>
      </c>
      <c r="Y78" s="11" t="n">
        <v>0.768890953104784</v>
      </c>
      <c r="Z78" s="11" t="n">
        <v>0.00117849651060202</v>
      </c>
    </row>
    <row r="79" customFormat="false" ht="15" hidden="false" customHeight="false" outlineLevel="0" collapsed="false">
      <c r="B79" s="12" t="s">
        <v>241</v>
      </c>
      <c r="C79" s="5" t="s">
        <v>234</v>
      </c>
      <c r="D79" s="13" t="s">
        <v>133</v>
      </c>
      <c r="E79" s="14" t="n">
        <v>1</v>
      </c>
      <c r="F79" s="15" t="n">
        <v>1.748</v>
      </c>
      <c r="G79" s="16" t="n">
        <v>45859</v>
      </c>
      <c r="H79" s="12" t="s">
        <v>194</v>
      </c>
      <c r="I79" s="12" t="e">
        <f aca="false">IF($D79="","",_xlfn.xlookup($D79,$R:$R,$S:$S,""))</f>
        <v>#NAME?</v>
      </c>
      <c r="J79" s="12" t="e">
        <f aca="false">IF($D79="","",_xlfn.xlookup($D79,$R:$R,$T:$T,""))</f>
        <v>#NAME?</v>
      </c>
      <c r="K79" s="12" t="e">
        <f aca="false">IF($D79="","",_xlfn.xlookup($D79,$R:$R,$U:$U,""))</f>
        <v>#NAME?</v>
      </c>
      <c r="L79" s="12" t="e">
        <f aca="false">IF($D79="","",_xlfn.xlookup($D79,$R:$R,$V:$V,""))</f>
        <v>#NAME?</v>
      </c>
      <c r="M79" s="12" t="e">
        <f aca="false">IF($D79="","",_xlfn.xlookup($D79,$R:$R,$W:$W,""))</f>
        <v>#NAME?</v>
      </c>
      <c r="N79" s="12" t="e">
        <f aca="false">IF($D79="","",_xlfn.xlookup($D79,$R:$R,$X:$X,""))</f>
        <v>#NAME?</v>
      </c>
      <c r="O79" s="12" t="e">
        <f aca="false">IF($D79="","",_xlfn.xlookup($D79,$R:$R,$Y:$Y,""))</f>
        <v>#NAME?</v>
      </c>
      <c r="P79" s="12" t="e">
        <f aca="false">IF($D79="","",_xlfn.xlookup($D79,$R:$R,$Z:$Z,""))</f>
        <v>#NAME?</v>
      </c>
      <c r="Q79" s="12"/>
      <c r="R79" s="11" t="s">
        <v>89</v>
      </c>
      <c r="S79" s="11" t="n">
        <v>60.7057451594328</v>
      </c>
      <c r="T79" s="11" t="n">
        <v>0.143613693912032</v>
      </c>
      <c r="U79" s="11" t="n">
        <v>265.010134259491</v>
      </c>
      <c r="V79" s="11" t="n">
        <v>1.35047697862478</v>
      </c>
      <c r="W79" s="11" t="n">
        <v>50.5864768004034</v>
      </c>
      <c r="X79" s="11" t="n">
        <v>0.0868478801517789</v>
      </c>
      <c r="Y79" s="11" t="n">
        <v>0.543621579286623</v>
      </c>
      <c r="Z79" s="11" t="n">
        <v>0.000787637260859225</v>
      </c>
    </row>
    <row r="80" customFormat="false" ht="15" hidden="false" customHeight="false" outlineLevel="0" collapsed="false">
      <c r="B80" s="12" t="s">
        <v>242</v>
      </c>
      <c r="C80" s="5" t="s">
        <v>239</v>
      </c>
      <c r="D80" s="13" t="s">
        <v>129</v>
      </c>
      <c r="E80" s="14" t="n">
        <v>1</v>
      </c>
      <c r="F80" s="15" t="n">
        <v>1.742</v>
      </c>
      <c r="G80" s="16" t="n">
        <v>45859</v>
      </c>
      <c r="H80" s="12" t="s">
        <v>194</v>
      </c>
      <c r="I80" s="12" t="e">
        <f aca="false">IF($D80="","",_xlfn.xlookup($D80,$R:$R,$S:$S,""))</f>
        <v>#NAME?</v>
      </c>
      <c r="J80" s="12" t="e">
        <f aca="false">IF($D80="","",_xlfn.xlookup($D80,$R:$R,$T:$T,""))</f>
        <v>#NAME?</v>
      </c>
      <c r="K80" s="12" t="e">
        <f aca="false">IF($D80="","",_xlfn.xlookup($D80,$R:$R,$U:$U,""))</f>
        <v>#NAME?</v>
      </c>
      <c r="L80" s="12" t="e">
        <f aca="false">IF($D80="","",_xlfn.xlookup($D80,$R:$R,$V:$V,""))</f>
        <v>#NAME?</v>
      </c>
      <c r="M80" s="12" t="e">
        <f aca="false">IF($D80="","",_xlfn.xlookup($D80,$R:$R,$W:$W,""))</f>
        <v>#NAME?</v>
      </c>
      <c r="N80" s="12" t="e">
        <f aca="false">IF($D80="","",_xlfn.xlookup($D80,$R:$R,$X:$X,""))</f>
        <v>#NAME?</v>
      </c>
      <c r="O80" s="12" t="e">
        <f aca="false">IF($D80="","",_xlfn.xlookup($D80,$R:$R,$Y:$Y,""))</f>
        <v>#NAME?</v>
      </c>
      <c r="P80" s="12" t="e">
        <f aca="false">IF($D80="","",_xlfn.xlookup($D80,$R:$R,$Z:$Z,""))</f>
        <v>#NAME?</v>
      </c>
      <c r="Q80" s="12"/>
      <c r="R80" s="11" t="s">
        <v>86</v>
      </c>
      <c r="S80" s="11" t="n">
        <v>49.4870660112083</v>
      </c>
      <c r="T80" s="11" t="n">
        <v>0.788647581367886</v>
      </c>
      <c r="U80" s="11" t="n">
        <v>1548.93416077456</v>
      </c>
      <c r="V80" s="11" t="n">
        <v>4.23257446377946</v>
      </c>
      <c r="W80" s="11" t="n">
        <v>227.455943108053</v>
      </c>
      <c r="X80" s="11" t="n">
        <v>0.47692088938665</v>
      </c>
      <c r="Y80" s="11" t="n">
        <v>1.81854798916915</v>
      </c>
      <c r="Z80" s="11" t="n">
        <v>0.00381936924208092</v>
      </c>
    </row>
    <row r="81" customFormat="false" ht="15" hidden="false" customHeight="false" outlineLevel="0" collapsed="false">
      <c r="B81" s="12" t="s">
        <v>243</v>
      </c>
      <c r="C81" s="5" t="s">
        <v>192</v>
      </c>
      <c r="D81" s="24"/>
      <c r="E81" s="25" t="n">
        <v>1</v>
      </c>
      <c r="F81" s="26"/>
      <c r="G81" s="16" t="n">
        <v>45859</v>
      </c>
      <c r="H81" s="12" t="s">
        <v>194</v>
      </c>
      <c r="I81" s="12" t="str">
        <f aca="false">IF($D81="","",_xlfn.xlookup($D81,$R:$R,$S:$S,""))</f>
        <v/>
      </c>
      <c r="J81" s="12" t="str">
        <f aca="false">IF($D81="","",_xlfn.xlookup($D81,$R:$R,$T:$T,""))</f>
        <v/>
      </c>
      <c r="K81" s="12" t="str">
        <f aca="false">IF($D81="","",_xlfn.xlookup($D81,$R:$R,$U:$U,""))</f>
        <v/>
      </c>
      <c r="L81" s="12" t="str">
        <f aca="false">IF($D81="","",_xlfn.xlookup($D81,$R:$R,$V:$V,""))</f>
        <v/>
      </c>
      <c r="M81" s="12" t="str">
        <f aca="false">IF($D81="","",_xlfn.xlookup($D81,$R:$R,$W:$W,""))</f>
        <v/>
      </c>
      <c r="N81" s="12" t="str">
        <f aca="false">IF($D81="","",_xlfn.xlookup($D81,$R:$R,$X:$X,""))</f>
        <v/>
      </c>
      <c r="O81" s="12" t="str">
        <f aca="false">IF($D81="","",_xlfn.xlookup($D81,$R:$R,$Y:$Y,""))</f>
        <v/>
      </c>
      <c r="P81" s="12" t="str">
        <f aca="false">IF($D81="","",_xlfn.xlookup($D81,$R:$R,$Z:$Z,""))</f>
        <v/>
      </c>
      <c r="Q81" s="12"/>
      <c r="R81" s="11" t="s">
        <v>83</v>
      </c>
      <c r="S81" s="11" t="n">
        <v>31.9864303499218</v>
      </c>
      <c r="T81" s="11" t="n">
        <v>0.59110559079951</v>
      </c>
      <c r="U81" s="11" t="n">
        <v>1702.13089663357</v>
      </c>
      <c r="V81" s="11" t="n">
        <v>4.03512119100468</v>
      </c>
      <c r="W81" s="11" t="n">
        <v>160.974661997049</v>
      </c>
      <c r="X81" s="11" t="n">
        <v>0.357460811071731</v>
      </c>
      <c r="Y81" s="11" t="n">
        <v>1.47887171002951</v>
      </c>
      <c r="Z81" s="11" t="n">
        <v>0.00298091870719698</v>
      </c>
    </row>
    <row r="82" customFormat="false" ht="15" hidden="false" customHeight="false" outlineLevel="0" collapsed="false">
      <c r="B82" s="12" t="s">
        <v>244</v>
      </c>
      <c r="C82" s="5" t="s">
        <v>192</v>
      </c>
      <c r="D82" s="21" t="s">
        <v>245</v>
      </c>
      <c r="E82" s="22" t="n">
        <v>1</v>
      </c>
      <c r="F82" s="23" t="n">
        <v>1.78</v>
      </c>
      <c r="G82" s="16" t="n">
        <v>45859</v>
      </c>
      <c r="H82" s="12" t="s">
        <v>194</v>
      </c>
      <c r="I82" s="12" t="e">
        <f aca="false">IF($D82="","",_xlfn.xlookup($D82,$R:$R,$S:$S,""))</f>
        <v>#NAME?</v>
      </c>
      <c r="J82" s="12" t="e">
        <f aca="false">IF($D82="","",_xlfn.xlookup($D82,$R:$R,$T:$T,""))</f>
        <v>#NAME?</v>
      </c>
      <c r="K82" s="12" t="e">
        <f aca="false">IF($D82="","",_xlfn.xlookup($D82,$R:$R,$U:$U,""))</f>
        <v>#NAME?</v>
      </c>
      <c r="L82" s="12" t="e">
        <f aca="false">IF($D82="","",_xlfn.xlookup($D82,$R:$R,$V:$V,""))</f>
        <v>#NAME?</v>
      </c>
      <c r="M82" s="12" t="e">
        <f aca="false">IF($D82="","",_xlfn.xlookup($D82,$R:$R,$W:$W,""))</f>
        <v>#NAME?</v>
      </c>
      <c r="N82" s="12" t="e">
        <f aca="false">IF($D82="","",_xlfn.xlookup($D82,$R:$R,$X:$X,""))</f>
        <v>#NAME?</v>
      </c>
      <c r="O82" s="12" t="e">
        <f aca="false">IF($D82="","",_xlfn.xlookup($D82,$R:$R,$Y:$Y,""))</f>
        <v>#NAME?</v>
      </c>
      <c r="P82" s="12" t="e">
        <f aca="false">IF($D82="","",_xlfn.xlookup($D82,$R:$R,$Z:$Z,""))</f>
        <v>#NAME?</v>
      </c>
      <c r="Q82" s="12"/>
      <c r="R82" s="11" t="s">
        <v>79</v>
      </c>
      <c r="S82" s="11" t="n">
        <v>31.0721931220204</v>
      </c>
      <c r="T82" s="11" t="n">
        <v>0.17962778219104</v>
      </c>
      <c r="U82" s="11" t="n">
        <v>469.879906865361</v>
      </c>
      <c r="V82" s="11" t="n">
        <v>1.30562513055227</v>
      </c>
      <c r="W82" s="11" t="n">
        <v>26.1049078779245</v>
      </c>
      <c r="X82" s="11" t="n">
        <v>0.10862677280074</v>
      </c>
      <c r="Y82" s="11" t="n">
        <v>0.390725152084811</v>
      </c>
      <c r="Z82" s="11" t="n">
        <v>0.000918103149800662</v>
      </c>
    </row>
    <row r="83" customFormat="false" ht="15" hidden="false" customHeight="false" outlineLevel="0" collapsed="false">
      <c r="B83" s="12" t="s">
        <v>246</v>
      </c>
      <c r="C83" s="5" t="s">
        <v>210</v>
      </c>
      <c r="D83" s="21" t="s">
        <v>247</v>
      </c>
      <c r="E83" s="22" t="n">
        <v>1</v>
      </c>
      <c r="F83" s="23" t="n">
        <v>1.626</v>
      </c>
      <c r="G83" s="16" t="n">
        <v>45859</v>
      </c>
      <c r="H83" s="12" t="s">
        <v>194</v>
      </c>
      <c r="I83" s="12" t="e">
        <f aca="false">IF($D83="","",_xlfn.xlookup($D83,$R:$R,$S:$S,""))</f>
        <v>#NAME?</v>
      </c>
      <c r="J83" s="12" t="e">
        <f aca="false">IF($D83="","",_xlfn.xlookup($D83,$R:$R,$T:$T,""))</f>
        <v>#NAME?</v>
      </c>
      <c r="K83" s="12" t="e">
        <f aca="false">IF($D83="","",_xlfn.xlookup($D83,$R:$R,$U:$U,""))</f>
        <v>#NAME?</v>
      </c>
      <c r="L83" s="12" t="e">
        <f aca="false">IF($D83="","",_xlfn.xlookup($D83,$R:$R,$V:$V,""))</f>
        <v>#NAME?</v>
      </c>
      <c r="M83" s="12" t="e">
        <f aca="false">IF($D83="","",_xlfn.xlookup($D83,$R:$R,$W:$W,""))</f>
        <v>#NAME?</v>
      </c>
      <c r="N83" s="12" t="e">
        <f aca="false">IF($D83="","",_xlfn.xlookup($D83,$R:$R,$X:$X,""))</f>
        <v>#NAME?</v>
      </c>
      <c r="O83" s="12" t="e">
        <f aca="false">IF($D83="","",_xlfn.xlookup($D83,$R:$R,$Y:$Y,""))</f>
        <v>#NAME?</v>
      </c>
      <c r="P83" s="12" t="e">
        <f aca="false">IF($D83="","",_xlfn.xlookup($D83,$R:$R,$Z:$Z,""))</f>
        <v>#NAME?</v>
      </c>
      <c r="Q83" s="12"/>
      <c r="R83" s="11" t="s">
        <v>75</v>
      </c>
      <c r="S83" s="11" t="n">
        <v>27.0562806275653</v>
      </c>
      <c r="T83" s="11" t="n">
        <v>0.236501216637436</v>
      </c>
      <c r="U83" s="11" t="n">
        <v>927.616822472535</v>
      </c>
      <c r="V83" s="11" t="n">
        <v>2.45495918833929</v>
      </c>
      <c r="W83" s="11" t="n">
        <v>34.3943619488698</v>
      </c>
      <c r="X83" s="11" t="n">
        <v>0.143019991748553</v>
      </c>
      <c r="Y83" s="11" t="n">
        <v>0.571365019327079</v>
      </c>
      <c r="Z83" s="11" t="n">
        <v>0.00134256879494561</v>
      </c>
    </row>
    <row r="84" customFormat="false" ht="15" hidden="false" customHeight="false" outlineLevel="0" collapsed="false">
      <c r="B84" s="12" t="s">
        <v>248</v>
      </c>
      <c r="C84" s="5" t="s">
        <v>249</v>
      </c>
      <c r="D84" s="21" t="s">
        <v>250</v>
      </c>
      <c r="E84" s="22" t="n">
        <v>1</v>
      </c>
      <c r="F84" s="23" t="n">
        <v>1.703</v>
      </c>
      <c r="G84" s="16" t="n">
        <v>45875</v>
      </c>
      <c r="H84" s="12" t="s">
        <v>194</v>
      </c>
      <c r="I84" s="12" t="e">
        <f aca="false">IF($D84="","",_xlfn.xlookup($D84,$R:$R,$S:$S,""))</f>
        <v>#NAME?</v>
      </c>
      <c r="J84" s="12" t="e">
        <f aca="false">IF($D84="","",_xlfn.xlookup($D84,$R:$R,$T:$T,""))</f>
        <v>#NAME?</v>
      </c>
      <c r="K84" s="12" t="e">
        <f aca="false">IF($D84="","",_xlfn.xlookup($D84,$R:$R,$U:$U,""))</f>
        <v>#NAME?</v>
      </c>
      <c r="L84" s="12" t="e">
        <f aca="false">IF($D84="","",_xlfn.xlookup($D84,$R:$R,$V:$V,""))</f>
        <v>#NAME?</v>
      </c>
      <c r="M84" s="12" t="e">
        <f aca="false">IF($D84="","",_xlfn.xlookup($D84,$R:$R,$W:$W,""))</f>
        <v>#NAME?</v>
      </c>
      <c r="N84" s="12" t="e">
        <f aca="false">IF($D84="","",_xlfn.xlookup($D84,$R:$R,$X:$X,""))</f>
        <v>#NAME?</v>
      </c>
      <c r="O84" s="12" t="e">
        <f aca="false">IF($D84="","",_xlfn.xlookup($D84,$R:$R,$Y:$Y,""))</f>
        <v>#NAME?</v>
      </c>
      <c r="P84" s="12" t="e">
        <f aca="false">IF($D84="","",_xlfn.xlookup($D84,$R:$R,$Z:$Z,""))</f>
        <v>#NAME?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customFormat="false" ht="15" hidden="false" customHeight="false" outlineLevel="0" collapsed="false">
      <c r="B85" s="12" t="s">
        <v>251</v>
      </c>
      <c r="C85" s="5" t="s">
        <v>234</v>
      </c>
      <c r="D85" s="13" t="s">
        <v>126</v>
      </c>
      <c r="E85" s="14" t="n">
        <v>1</v>
      </c>
      <c r="F85" s="15" t="n">
        <v>1.618</v>
      </c>
      <c r="G85" s="16" t="n">
        <v>45875</v>
      </c>
      <c r="H85" s="12" t="s">
        <v>194</v>
      </c>
      <c r="I85" s="12" t="e">
        <f aca="false">IF($D85="","",_xlfn.xlookup($D85,$R:$R,$S:$S,""))</f>
        <v>#NAME?</v>
      </c>
      <c r="J85" s="12" t="e">
        <f aca="false">IF($D85="","",_xlfn.xlookup($D85,$R:$R,$T:$T,""))</f>
        <v>#NAME?</v>
      </c>
      <c r="K85" s="12" t="e">
        <f aca="false">IF($D85="","",_xlfn.xlookup($D85,$R:$R,$U:$U,""))</f>
        <v>#NAME?</v>
      </c>
      <c r="L85" s="12" t="e">
        <f aca="false">IF($D85="","",_xlfn.xlookup($D85,$R:$R,$V:$V,""))</f>
        <v>#NAME?</v>
      </c>
      <c r="M85" s="12" t="e">
        <f aca="false">IF($D85="","",_xlfn.xlookup($D85,$R:$R,$W:$W,""))</f>
        <v>#NAME?</v>
      </c>
      <c r="N85" s="12" t="e">
        <f aca="false">IF($D85="","",_xlfn.xlookup($D85,$R:$R,$X:$X,""))</f>
        <v>#NAME?</v>
      </c>
      <c r="O85" s="12" t="e">
        <f aca="false">IF($D85="","",_xlfn.xlookup($D85,$R:$R,$Y:$Y,""))</f>
        <v>#NAME?</v>
      </c>
      <c r="P85" s="12" t="e">
        <f aca="false">IF($D85="","",_xlfn.xlookup($D85,$R:$R,$Z:$Z,""))</f>
        <v>#NAME?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customFormat="false" ht="15" hidden="false" customHeight="false" outlineLevel="0" collapsed="false">
      <c r="B86" s="12" t="s">
        <v>252</v>
      </c>
      <c r="C86" s="5" t="s">
        <v>200</v>
      </c>
      <c r="D86" s="21" t="s">
        <v>253</v>
      </c>
      <c r="E86" s="22" t="n">
        <v>1</v>
      </c>
      <c r="F86" s="23" t="n">
        <v>1.478</v>
      </c>
      <c r="G86" s="16" t="n">
        <v>45884</v>
      </c>
      <c r="H86" s="12" t="s">
        <v>194</v>
      </c>
      <c r="I86" s="12" t="e">
        <f aca="false">IF($D86="","",_xlfn.xlookup($D86,$R:$R,$S:$S,""))</f>
        <v>#NAME?</v>
      </c>
      <c r="J86" s="12" t="e">
        <f aca="false">IF($D86="","",_xlfn.xlookup($D86,$R:$R,$T:$T,""))</f>
        <v>#NAME?</v>
      </c>
      <c r="K86" s="12" t="e">
        <f aca="false">IF($D86="","",_xlfn.xlookup($D86,$R:$R,$U:$U,""))</f>
        <v>#NAME?</v>
      </c>
      <c r="L86" s="12" t="e">
        <f aca="false">IF($D86="","",_xlfn.xlookup($D86,$R:$R,$V:$V,""))</f>
        <v>#NAME?</v>
      </c>
      <c r="M86" s="12" t="e">
        <f aca="false">IF($D86="","",_xlfn.xlookup($D86,$R:$R,$W:$W,""))</f>
        <v>#NAME?</v>
      </c>
      <c r="N86" s="12" t="e">
        <f aca="false">IF($D86="","",_xlfn.xlookup($D86,$R:$R,$X:$X,""))</f>
        <v>#NAME?</v>
      </c>
      <c r="O86" s="12" t="e">
        <f aca="false">IF($D86="","",_xlfn.xlookup($D86,$R:$R,$Y:$Y,""))</f>
        <v>#NAME?</v>
      </c>
      <c r="P86" s="12" t="e">
        <f aca="false">IF($D86="","",_xlfn.xlookup($D86,$R:$R,$Z:$Z,""))</f>
        <v>#NAME?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customFormat="false" ht="15" hidden="false" customHeight="false" outlineLevel="0" collapsed="false">
      <c r="B87" s="12" t="s">
        <v>254</v>
      </c>
      <c r="C87" s="5" t="s">
        <v>88</v>
      </c>
      <c r="D87" s="13" t="s">
        <v>123</v>
      </c>
      <c r="E87" s="14" t="n">
        <v>1</v>
      </c>
      <c r="F87" s="15" t="n">
        <v>0.905</v>
      </c>
      <c r="G87" s="16" t="n">
        <v>45876</v>
      </c>
      <c r="H87" s="12"/>
      <c r="I87" s="12" t="e">
        <f aca="false">IF($D87="","",_xlfn.xlookup($D87,$R:$R,$S:$S,""))</f>
        <v>#NAME?</v>
      </c>
      <c r="J87" s="12" t="e">
        <f aca="false">IF($D87="","",_xlfn.xlookup($D87,$R:$R,$T:$T,""))</f>
        <v>#NAME?</v>
      </c>
      <c r="K87" s="12" t="e">
        <f aca="false">IF($D87="","",_xlfn.xlookup($D87,$R:$R,$U:$U,""))</f>
        <v>#NAME?</v>
      </c>
      <c r="L87" s="12" t="e">
        <f aca="false">IF($D87="","",_xlfn.xlookup($D87,$R:$R,$V:$V,""))</f>
        <v>#NAME?</v>
      </c>
      <c r="M87" s="12" t="e">
        <f aca="false">IF($D87="","",_xlfn.xlookup($D87,$R:$R,$W:$W,""))</f>
        <v>#NAME?</v>
      </c>
      <c r="N87" s="12" t="e">
        <f aca="false">IF($D87="","",_xlfn.xlookup($D87,$R:$R,$X:$X,""))</f>
        <v>#NAME?</v>
      </c>
      <c r="O87" s="12" t="e">
        <f aca="false">IF($D87="","",_xlfn.xlookup($D87,$R:$R,$Y:$Y,""))</f>
        <v>#NAME?</v>
      </c>
      <c r="P87" s="12" t="e">
        <f aca="false">IF($D87="","",_xlfn.xlookup($D87,$R:$R,$Z:$Z,""))</f>
        <v>#NAME?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customFormat="false" ht="15" hidden="false" customHeight="false" outlineLevel="0" collapsed="false">
      <c r="B88" s="12" t="s">
        <v>255</v>
      </c>
      <c r="C88" s="5" t="s">
        <v>88</v>
      </c>
      <c r="D88" s="13" t="s">
        <v>120</v>
      </c>
      <c r="E88" s="14" t="n">
        <v>1</v>
      </c>
      <c r="F88" s="15" t="n">
        <v>0.876</v>
      </c>
      <c r="G88" s="16" t="n">
        <v>45876</v>
      </c>
      <c r="H88" s="12"/>
      <c r="I88" s="12" t="e">
        <f aca="false">IF($D88="","",_xlfn.xlookup($D88,$R:$R,$S:$S,""))</f>
        <v>#NAME?</v>
      </c>
      <c r="J88" s="12" t="e">
        <f aca="false">IF($D88="","",_xlfn.xlookup($D88,$R:$R,$T:$T,""))</f>
        <v>#NAME?</v>
      </c>
      <c r="K88" s="12" t="e">
        <f aca="false">IF($D88="","",_xlfn.xlookup($D88,$R:$R,$U:$U,""))</f>
        <v>#NAME?</v>
      </c>
      <c r="L88" s="12" t="e">
        <f aca="false">IF($D88="","",_xlfn.xlookup($D88,$R:$R,$V:$V,""))</f>
        <v>#NAME?</v>
      </c>
      <c r="M88" s="12" t="e">
        <f aca="false">IF($D88="","",_xlfn.xlookup($D88,$R:$R,$W:$W,""))</f>
        <v>#NAME?</v>
      </c>
      <c r="N88" s="12" t="e">
        <f aca="false">IF($D88="","",_xlfn.xlookup($D88,$R:$R,$X:$X,""))</f>
        <v>#NAME?</v>
      </c>
      <c r="O88" s="12" t="e">
        <f aca="false">IF($D88="","",_xlfn.xlookup($D88,$R:$R,$Y:$Y,""))</f>
        <v>#NAME?</v>
      </c>
      <c r="P88" s="12" t="e">
        <f aca="false">IF($D88="","",_xlfn.xlookup($D88,$R:$R,$Z:$Z,""))</f>
        <v>#NAME?</v>
      </c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customFormat="false" ht="15" hidden="false" customHeight="false" outlineLevel="0" collapsed="false">
      <c r="B89" s="12" t="s">
        <v>256</v>
      </c>
      <c r="C89" s="5" t="s">
        <v>99</v>
      </c>
      <c r="D89" s="13" t="s">
        <v>117</v>
      </c>
      <c r="E89" s="14" t="n">
        <v>1</v>
      </c>
      <c r="F89" s="15" t="n">
        <v>1.355</v>
      </c>
      <c r="G89" s="16" t="n">
        <v>45807</v>
      </c>
      <c r="H89" s="12" t="s">
        <v>194</v>
      </c>
      <c r="I89" s="12" t="e">
        <f aca="false">IF($D89="","",_xlfn.xlookup($D89,$R:$R,$S:$S,""))</f>
        <v>#NAME?</v>
      </c>
      <c r="J89" s="12" t="e">
        <f aca="false">IF($D89="","",_xlfn.xlookup($D89,$R:$R,$T:$T,""))</f>
        <v>#NAME?</v>
      </c>
      <c r="K89" s="12" t="e">
        <f aca="false">IF($D89="","",_xlfn.xlookup($D89,$R:$R,$U:$U,""))</f>
        <v>#NAME?</v>
      </c>
      <c r="L89" s="12" t="e">
        <f aca="false">IF($D89="","",_xlfn.xlookup($D89,$R:$R,$V:$V,""))</f>
        <v>#NAME?</v>
      </c>
      <c r="M89" s="12" t="e">
        <f aca="false">IF($D89="","",_xlfn.xlookup($D89,$R:$R,$W:$W,""))</f>
        <v>#NAME?</v>
      </c>
      <c r="N89" s="12" t="e">
        <f aca="false">IF($D89="","",_xlfn.xlookup($D89,$R:$R,$X:$X,""))</f>
        <v>#NAME?</v>
      </c>
      <c r="O89" s="12" t="e">
        <f aca="false">IF($D89="","",_xlfn.xlookup($D89,$R:$R,$Y:$Y,""))</f>
        <v>#NAME?</v>
      </c>
      <c r="P89" s="12" t="e">
        <f aca="false">IF($D89="","",_xlfn.xlookup($D89,$R:$R,$Z:$Z,""))</f>
        <v>#NAME?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customFormat="false" ht="15" hidden="false" customHeight="false" outlineLevel="0" collapsed="false">
      <c r="B90" s="12" t="s">
        <v>257</v>
      </c>
      <c r="C90" s="5" t="s">
        <v>99</v>
      </c>
      <c r="D90" s="13" t="s">
        <v>114</v>
      </c>
      <c r="E90" s="14" t="n">
        <v>1</v>
      </c>
      <c r="F90" s="15" t="n">
        <v>1.567</v>
      </c>
      <c r="G90" s="16" t="n">
        <v>45807</v>
      </c>
      <c r="H90" s="12" t="s">
        <v>194</v>
      </c>
      <c r="I90" s="12" t="e">
        <f aca="false">IF($D90="","",_xlfn.xlookup($D90,$R:$R,$S:$S,""))</f>
        <v>#NAME?</v>
      </c>
      <c r="J90" s="12" t="e">
        <f aca="false">IF($D90="","",_xlfn.xlookup($D90,$R:$R,$T:$T,""))</f>
        <v>#NAME?</v>
      </c>
      <c r="K90" s="12" t="e">
        <f aca="false">IF($D90="","",_xlfn.xlookup($D90,$R:$R,$U:$U,""))</f>
        <v>#NAME?</v>
      </c>
      <c r="L90" s="12" t="e">
        <f aca="false">IF($D90="","",_xlfn.xlookup($D90,$R:$R,$V:$V,""))</f>
        <v>#NAME?</v>
      </c>
      <c r="M90" s="12" t="e">
        <f aca="false">IF($D90="","",_xlfn.xlookup($D90,$R:$R,$W:$W,""))</f>
        <v>#NAME?</v>
      </c>
      <c r="N90" s="12" t="e">
        <f aca="false">IF($D90="","",_xlfn.xlookup($D90,$R:$R,$X:$X,""))</f>
        <v>#NAME?</v>
      </c>
      <c r="O90" s="12" t="e">
        <f aca="false">IF($D90="","",_xlfn.xlookup($D90,$R:$R,$Y:$Y,""))</f>
        <v>#NAME?</v>
      </c>
      <c r="P90" s="12" t="e">
        <f aca="false">IF($D90="","",_xlfn.xlookup($D90,$R:$R,$Z:$Z,""))</f>
        <v>#NAME?</v>
      </c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customFormat="false" ht="15" hidden="false" customHeight="false" outlineLevel="0" collapsed="false">
      <c r="B91" s="12" t="s">
        <v>258</v>
      </c>
      <c r="C91" s="5" t="s">
        <v>99</v>
      </c>
      <c r="D91" s="13" t="s">
        <v>111</v>
      </c>
      <c r="E91" s="14" t="n">
        <v>1</v>
      </c>
      <c r="F91" s="15" t="n">
        <v>1.574</v>
      </c>
      <c r="G91" s="16" t="n">
        <v>45807</v>
      </c>
      <c r="H91" s="12" t="s">
        <v>194</v>
      </c>
      <c r="I91" s="12" t="e">
        <f aca="false">IF($D91="","",_xlfn.xlookup($D91,$R:$R,$S:$S,""))</f>
        <v>#NAME?</v>
      </c>
      <c r="J91" s="12" t="e">
        <f aca="false">IF($D91="","",_xlfn.xlookup($D91,$R:$R,$T:$T,""))</f>
        <v>#NAME?</v>
      </c>
      <c r="K91" s="12" t="e">
        <f aca="false">IF($D91="","",_xlfn.xlookup($D91,$R:$R,$U:$U,""))</f>
        <v>#NAME?</v>
      </c>
      <c r="L91" s="12" t="e">
        <f aca="false">IF($D91="","",_xlfn.xlookup($D91,$R:$R,$V:$V,""))</f>
        <v>#NAME?</v>
      </c>
      <c r="M91" s="12" t="e">
        <f aca="false">IF($D91="","",_xlfn.xlookup($D91,$R:$R,$W:$W,""))</f>
        <v>#NAME?</v>
      </c>
      <c r="N91" s="12" t="e">
        <f aca="false">IF($D91="","",_xlfn.xlookup($D91,$R:$R,$X:$X,""))</f>
        <v>#NAME?</v>
      </c>
      <c r="O91" s="12" t="e">
        <f aca="false">IF($D91="","",_xlfn.xlookup($D91,$R:$R,$Y:$Y,""))</f>
        <v>#NAME?</v>
      </c>
      <c r="P91" s="12" t="e">
        <f aca="false">IF($D91="","",_xlfn.xlookup($D91,$R:$R,$Z:$Z,""))</f>
        <v>#NAME?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customFormat="false" ht="15" hidden="false" customHeight="false" outlineLevel="0" collapsed="false">
      <c r="B92" s="12" t="s">
        <v>259</v>
      </c>
      <c r="C92" s="5" t="s">
        <v>99</v>
      </c>
      <c r="D92" s="13" t="s">
        <v>108</v>
      </c>
      <c r="E92" s="14" t="n">
        <v>1</v>
      </c>
      <c r="F92" s="15" t="n">
        <v>1.72</v>
      </c>
      <c r="G92" s="16" t="n">
        <v>45666</v>
      </c>
      <c r="H92" s="12" t="s">
        <v>194</v>
      </c>
      <c r="I92" s="12" t="e">
        <f aca="false">IF($D92="","",_xlfn.xlookup($D92,$R:$R,$S:$S,""))</f>
        <v>#NAME?</v>
      </c>
      <c r="J92" s="12" t="e">
        <f aca="false">IF($D92="","",_xlfn.xlookup($D92,$R:$R,$T:$T,""))</f>
        <v>#NAME?</v>
      </c>
      <c r="K92" s="12" t="e">
        <f aca="false">IF($D92="","",_xlfn.xlookup($D92,$R:$R,$U:$U,""))</f>
        <v>#NAME?</v>
      </c>
      <c r="L92" s="12" t="e">
        <f aca="false">IF($D92="","",_xlfn.xlookup($D92,$R:$R,$V:$V,""))</f>
        <v>#NAME?</v>
      </c>
      <c r="M92" s="12" t="e">
        <f aca="false">IF($D92="","",_xlfn.xlookup($D92,$R:$R,$W:$W,""))</f>
        <v>#NAME?</v>
      </c>
      <c r="N92" s="12" t="e">
        <f aca="false">IF($D92="","",_xlfn.xlookup($D92,$R:$R,$X:$X,""))</f>
        <v>#NAME?</v>
      </c>
      <c r="O92" s="12" t="e">
        <f aca="false">IF($D92="","",_xlfn.xlookup($D92,$R:$R,$Y:$Y,""))</f>
        <v>#NAME?</v>
      </c>
      <c r="P92" s="12" t="e">
        <f aca="false">IF($D92="","",_xlfn.xlookup($D92,$R:$R,$Z:$Z,""))</f>
        <v>#NAME?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customFormat="false" ht="15" hidden="false" customHeight="false" outlineLevel="0" collapsed="false">
      <c r="B93" s="12" t="s">
        <v>260</v>
      </c>
      <c r="C93" s="5" t="s">
        <v>261</v>
      </c>
      <c r="D93" s="13" t="s">
        <v>104</v>
      </c>
      <c r="E93" s="14" t="n">
        <v>1</v>
      </c>
      <c r="F93" s="15" t="n">
        <v>1.675</v>
      </c>
      <c r="G93" s="16" t="n">
        <v>45895</v>
      </c>
      <c r="H93" s="12" t="s">
        <v>194</v>
      </c>
      <c r="I93" s="12" t="e">
        <f aca="false">IF($D93="","",_xlfn.xlookup($D93,$R:$R,$S:$S,""))</f>
        <v>#NAME?</v>
      </c>
      <c r="J93" s="12" t="e">
        <f aca="false">IF($D93="","",_xlfn.xlookup($D93,$R:$R,$T:$T,""))</f>
        <v>#NAME?</v>
      </c>
      <c r="K93" s="12" t="e">
        <f aca="false">IF($D93="","",_xlfn.xlookup($D93,$R:$R,$U:$U,""))</f>
        <v>#NAME?</v>
      </c>
      <c r="L93" s="12" t="e">
        <f aca="false">IF($D93="","",_xlfn.xlookup($D93,$R:$R,$V:$V,""))</f>
        <v>#NAME?</v>
      </c>
      <c r="M93" s="12" t="e">
        <f aca="false">IF($D93="","",_xlfn.xlookup($D93,$R:$R,$W:$W,""))</f>
        <v>#NAME?</v>
      </c>
      <c r="N93" s="12" t="e">
        <f aca="false">IF($D93="","",_xlfn.xlookup($D93,$R:$R,$X:$X,""))</f>
        <v>#NAME?</v>
      </c>
      <c r="O93" s="12" t="e">
        <f aca="false">IF($D93="","",_xlfn.xlookup($D93,$R:$R,$Y:$Y,""))</f>
        <v>#NAME?</v>
      </c>
      <c r="P93" s="12" t="e">
        <f aca="false">IF($D93="","",_xlfn.xlookup($D93,$R:$R,$Z:$Z,""))</f>
        <v>#NAME?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customFormat="false" ht="15" hidden="false" customHeight="false" outlineLevel="0" collapsed="false">
      <c r="B94" s="12" t="s">
        <v>262</v>
      </c>
      <c r="C94" s="5" t="s">
        <v>220</v>
      </c>
      <c r="D94" s="21" t="s">
        <v>263</v>
      </c>
      <c r="E94" s="22" t="n">
        <v>1</v>
      </c>
      <c r="F94" s="23" t="n">
        <v>1.71</v>
      </c>
      <c r="G94" s="16" t="n">
        <v>45891</v>
      </c>
      <c r="H94" s="12" t="s">
        <v>194</v>
      </c>
      <c r="I94" s="12" t="e">
        <f aca="false">IF($D94="","",_xlfn.xlookup($D94,$R:$R,$S:$S,""))</f>
        <v>#NAME?</v>
      </c>
      <c r="J94" s="12" t="e">
        <f aca="false">IF($D94="","",_xlfn.xlookup($D94,$R:$R,$T:$T,""))</f>
        <v>#NAME?</v>
      </c>
      <c r="K94" s="12" t="e">
        <f aca="false">IF($D94="","",_xlfn.xlookup($D94,$R:$R,$U:$U,""))</f>
        <v>#NAME?</v>
      </c>
      <c r="L94" s="12" t="e">
        <f aca="false">IF($D94="","",_xlfn.xlookup($D94,$R:$R,$V:$V,""))</f>
        <v>#NAME?</v>
      </c>
      <c r="M94" s="12" t="e">
        <f aca="false">IF($D94="","",_xlfn.xlookup($D94,$R:$R,$W:$W,""))</f>
        <v>#NAME?</v>
      </c>
      <c r="N94" s="12" t="e">
        <f aca="false">IF($D94="","",_xlfn.xlookup($D94,$R:$R,$X:$X,""))</f>
        <v>#NAME?</v>
      </c>
      <c r="O94" s="12" t="e">
        <f aca="false">IF($D94="","",_xlfn.xlookup($D94,$R:$R,$Y:$Y,""))</f>
        <v>#NAME?</v>
      </c>
      <c r="P94" s="12" t="e">
        <f aca="false">IF($D94="","",_xlfn.xlookup($D94,$R:$R,$Z:$Z,""))</f>
        <v>#NAME?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customFormat="false" ht="15" hidden="false" customHeight="false" outlineLevel="0" collapsed="false">
      <c r="B95" s="12" t="s">
        <v>264</v>
      </c>
      <c r="C95" s="5" t="s">
        <v>265</v>
      </c>
      <c r="D95" s="13" t="s">
        <v>101</v>
      </c>
      <c r="E95" s="14" t="n">
        <v>1</v>
      </c>
      <c r="F95" s="15" t="n">
        <v>1.76</v>
      </c>
      <c r="G95" s="16" t="n">
        <v>45897</v>
      </c>
      <c r="H95" s="12" t="s">
        <v>194</v>
      </c>
      <c r="I95" s="12" t="e">
        <f aca="false">IF($D95="","",_xlfn.xlookup($D95,$R:$R,$S:$S,""))</f>
        <v>#NAME?</v>
      </c>
      <c r="J95" s="12" t="e">
        <f aca="false">IF($D95="","",_xlfn.xlookup($D95,$R:$R,$T:$T,""))</f>
        <v>#NAME?</v>
      </c>
      <c r="K95" s="12" t="e">
        <f aca="false">IF($D95="","",_xlfn.xlookup($D95,$R:$R,$U:$U,""))</f>
        <v>#NAME?</v>
      </c>
      <c r="L95" s="12" t="e">
        <f aca="false">IF($D95="","",_xlfn.xlookup($D95,$R:$R,$V:$V,""))</f>
        <v>#NAME?</v>
      </c>
      <c r="M95" s="12" t="e">
        <f aca="false">IF($D95="","",_xlfn.xlookup($D95,$R:$R,$W:$W,""))</f>
        <v>#NAME?</v>
      </c>
      <c r="N95" s="12" t="e">
        <f aca="false">IF($D95="","",_xlfn.xlookup($D95,$R:$R,$X:$X,""))</f>
        <v>#NAME?</v>
      </c>
      <c r="O95" s="12" t="e">
        <f aca="false">IF($D95="","",_xlfn.xlookup($D95,$R:$R,$Y:$Y,""))</f>
        <v>#NAME?</v>
      </c>
      <c r="P95" s="12" t="e">
        <f aca="false">IF($D95="","",_xlfn.xlookup($D95,$R:$R,$Z:$Z,""))</f>
        <v>#NAME?</v>
      </c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customFormat="false" ht="15.75" hidden="false" customHeight="true" outlineLevel="0" collapsed="false">
      <c r="B96" s="12" t="s">
        <v>266</v>
      </c>
      <c r="C96" s="5" t="s">
        <v>200</v>
      </c>
      <c r="D96" s="13" t="s">
        <v>97</v>
      </c>
      <c r="E96" s="14" t="n">
        <v>1</v>
      </c>
      <c r="F96" s="15" t="n">
        <v>1.811</v>
      </c>
      <c r="G96" s="16" t="n">
        <v>45897</v>
      </c>
      <c r="H96" s="12" t="s">
        <v>194</v>
      </c>
      <c r="I96" s="12" t="e">
        <f aca="false">IF($D96="","",_xlfn.xlookup($D96,$R:$R,$S:$S,""))</f>
        <v>#NAME?</v>
      </c>
      <c r="J96" s="12" t="e">
        <f aca="false">IF($D96="","",_xlfn.xlookup($D96,$R:$R,$T:$T,""))</f>
        <v>#NAME?</v>
      </c>
      <c r="K96" s="12" t="e">
        <f aca="false">IF($D96="","",_xlfn.xlookup($D96,$R:$R,$U:$U,""))</f>
        <v>#NAME?</v>
      </c>
      <c r="L96" s="12" t="e">
        <f aca="false">IF($D96="","",_xlfn.xlookup($D96,$R:$R,$V:$V,""))</f>
        <v>#NAME?</v>
      </c>
      <c r="M96" s="12" t="e">
        <f aca="false">IF($D96="","",_xlfn.xlookup($D96,$R:$R,$W:$W,""))</f>
        <v>#NAME?</v>
      </c>
      <c r="N96" s="12" t="e">
        <f aca="false">IF($D96="","",_xlfn.xlookup($D96,$R:$R,$X:$X,""))</f>
        <v>#NAME?</v>
      </c>
      <c r="O96" s="12" t="e">
        <f aca="false">IF($D96="","",_xlfn.xlookup($D96,$R:$R,$Y:$Y,""))</f>
        <v>#NAME?</v>
      </c>
      <c r="P96" s="12" t="e">
        <f aca="false">IF($D96="","",_xlfn.xlookup($D96,$R:$R,$Z:$Z,""))</f>
        <v>#NAME?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customFormat="false" ht="15" hidden="false" customHeight="false" outlineLevel="0" collapsed="false">
      <c r="B97" s="12" t="s">
        <v>267</v>
      </c>
      <c r="C97" s="5" t="s">
        <v>268</v>
      </c>
      <c r="D97" s="13" t="s">
        <v>93</v>
      </c>
      <c r="E97" s="14" t="n">
        <v>1</v>
      </c>
      <c r="F97" s="15" t="n">
        <v>1.672</v>
      </c>
      <c r="G97" s="16" t="n">
        <v>45897</v>
      </c>
      <c r="H97" s="12" t="s">
        <v>194</v>
      </c>
      <c r="I97" s="12" t="e">
        <f aca="false">IF($D97="","",_xlfn.xlookup($D97,$R:$R,$S:$S,""))</f>
        <v>#NAME?</v>
      </c>
      <c r="J97" s="12" t="e">
        <f aca="false">IF($D97="","",_xlfn.xlookup($D97,$R:$R,$T:$T,""))</f>
        <v>#NAME?</v>
      </c>
      <c r="K97" s="12" t="e">
        <f aca="false">IF($D97="","",_xlfn.xlookup($D97,$R:$R,$U:$U,""))</f>
        <v>#NAME?</v>
      </c>
      <c r="L97" s="12" t="e">
        <f aca="false">IF($D97="","",_xlfn.xlookup($D97,$R:$R,$V:$V,""))</f>
        <v>#NAME?</v>
      </c>
      <c r="M97" s="12" t="e">
        <f aca="false">IF($D97="","",_xlfn.xlookup($D97,$R:$R,$W:$W,""))</f>
        <v>#NAME?</v>
      </c>
      <c r="N97" s="12" t="e">
        <f aca="false">IF($D97="","",_xlfn.xlookup($D97,$R:$R,$X:$X,""))</f>
        <v>#NAME?</v>
      </c>
      <c r="O97" s="12" t="e">
        <f aca="false">IF($D97="","",_xlfn.xlookup($D97,$R:$R,$Y:$Y,""))</f>
        <v>#NAME?</v>
      </c>
      <c r="P97" s="12" t="e">
        <f aca="false">IF($D97="","",_xlfn.xlookup($D97,$R:$R,$Z:$Z,""))</f>
        <v>#NAME?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customFormat="false" ht="15" hidden="false" customHeight="false" outlineLevel="0" collapsed="false">
      <c r="B98" s="12" t="s">
        <v>269</v>
      </c>
      <c r="C98" s="5" t="s">
        <v>270</v>
      </c>
      <c r="D98" s="24"/>
      <c r="E98" s="25" t="n">
        <v>1</v>
      </c>
      <c r="F98" s="26"/>
      <c r="G98" s="16" t="n">
        <v>45826</v>
      </c>
      <c r="H98" s="12"/>
      <c r="I98" s="12" t="str">
        <f aca="false">IF($D98="","",_xlfn.xlookup($D98,$R:$R,$S:$S,""))</f>
        <v/>
      </c>
      <c r="J98" s="12" t="str">
        <f aca="false">IF($D98="","",_xlfn.xlookup($D98,$R:$R,$T:$T,""))</f>
        <v/>
      </c>
      <c r="K98" s="12" t="str">
        <f aca="false">IF($D98="","",_xlfn.xlookup($D98,$R:$R,$U:$U,""))</f>
        <v/>
      </c>
      <c r="L98" s="12" t="str">
        <f aca="false">IF($D98="","",_xlfn.xlookup($D98,$R:$R,$V:$V,""))</f>
        <v/>
      </c>
      <c r="M98" s="12" t="str">
        <f aca="false">IF($D98="","",_xlfn.xlookup($D98,$R:$R,$W:$W,""))</f>
        <v/>
      </c>
      <c r="N98" s="12" t="str">
        <f aca="false">IF($D98="","",_xlfn.xlookup($D98,$R:$R,$X:$X,""))</f>
        <v/>
      </c>
      <c r="O98" s="12" t="str">
        <f aca="false">IF($D98="","",_xlfn.xlookup($D98,$R:$R,$Y:$Y,""))</f>
        <v/>
      </c>
      <c r="P98" s="12" t="str">
        <f aca="false">IF($D98="","",_xlfn.xlookup($D98,$R:$R,$Z:$Z,""))</f>
        <v/>
      </c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customFormat="false" ht="15" hidden="false" customHeight="false" outlineLevel="0" collapsed="false">
      <c r="B99" s="12" t="s">
        <v>271</v>
      </c>
      <c r="C99" s="5" t="s">
        <v>272</v>
      </c>
      <c r="D99" s="21" t="s">
        <v>273</v>
      </c>
      <c r="E99" s="22" t="n">
        <v>1</v>
      </c>
      <c r="F99" s="23" t="n">
        <v>1.076</v>
      </c>
      <c r="G99" s="16" t="n">
        <v>45903</v>
      </c>
      <c r="H99" s="12" t="s">
        <v>194</v>
      </c>
      <c r="I99" s="12" t="e">
        <f aca="false">IF($D99="","",_xlfn.xlookup($D99,$R:$R,$S:$S,""))</f>
        <v>#NAME?</v>
      </c>
      <c r="J99" s="12" t="e">
        <f aca="false">IF($D99="","",_xlfn.xlookup($D99,$R:$R,$T:$T,""))</f>
        <v>#NAME?</v>
      </c>
      <c r="K99" s="12" t="e">
        <f aca="false">IF($D99="","",_xlfn.xlookup($D99,$R:$R,$U:$U,""))</f>
        <v>#NAME?</v>
      </c>
      <c r="L99" s="12" t="e">
        <f aca="false">IF($D99="","",_xlfn.xlookup($D99,$R:$R,$V:$V,""))</f>
        <v>#NAME?</v>
      </c>
      <c r="M99" s="12" t="e">
        <f aca="false">IF($D99="","",_xlfn.xlookup($D99,$R:$R,$W:$W,""))</f>
        <v>#NAME?</v>
      </c>
      <c r="N99" s="12" t="e">
        <f aca="false">IF($D99="","",_xlfn.xlookup($D99,$R:$R,$X:$X,""))</f>
        <v>#NAME?</v>
      </c>
      <c r="O99" s="12" t="e">
        <f aca="false">IF($D99="","",_xlfn.xlookup($D99,$R:$R,$Y:$Y,""))</f>
        <v>#NAME?</v>
      </c>
      <c r="P99" s="12" t="e">
        <f aca="false">IF($D99="","",_xlfn.xlookup($D99,$R:$R,$Z:$Z,""))</f>
        <v>#NAME?</v>
      </c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customFormat="false" ht="15" hidden="false" customHeight="false" outlineLevel="0" collapsed="false">
      <c r="B100" s="12" t="s">
        <v>274</v>
      </c>
      <c r="C100" s="5" t="s">
        <v>99</v>
      </c>
      <c r="D100" s="21" t="s">
        <v>275</v>
      </c>
      <c r="E100" s="22" t="n">
        <v>1</v>
      </c>
      <c r="F100" s="23" t="n">
        <v>1.706</v>
      </c>
      <c r="G100" s="16" t="n">
        <v>45916</v>
      </c>
      <c r="H100" s="12" t="s">
        <v>194</v>
      </c>
      <c r="I100" s="12" t="e">
        <f aca="false">IF($D100="","",_xlfn.xlookup($D100,$R:$R,$S:$S,""))</f>
        <v>#NAME?</v>
      </c>
      <c r="J100" s="12" t="e">
        <f aca="false">IF($D100="","",_xlfn.xlookup($D100,$R:$R,$T:$T,""))</f>
        <v>#NAME?</v>
      </c>
      <c r="K100" s="12" t="e">
        <f aca="false">IF($D100="","",_xlfn.xlookup($D100,$R:$R,$U:$U,""))</f>
        <v>#NAME?</v>
      </c>
      <c r="L100" s="12" t="e">
        <f aca="false">IF($D100="","",_xlfn.xlookup($D100,$R:$R,$V:$V,""))</f>
        <v>#NAME?</v>
      </c>
      <c r="M100" s="12" t="e">
        <f aca="false">IF($D100="","",_xlfn.xlookup($D100,$R:$R,$W:$W,""))</f>
        <v>#NAME?</v>
      </c>
      <c r="N100" s="12" t="e">
        <f aca="false">IF($D100="","",_xlfn.xlookup($D100,$R:$R,$X:$X,""))</f>
        <v>#NAME?</v>
      </c>
      <c r="O100" s="12" t="e">
        <f aca="false">IF($D100="","",_xlfn.xlookup($D100,$R:$R,$Y:$Y,""))</f>
        <v>#NAME?</v>
      </c>
      <c r="P100" s="12" t="e">
        <f aca="false">IF($D100="","",_xlfn.xlookup($D100,$R:$R,$Z:$Z,""))</f>
        <v>#NAME?</v>
      </c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customFormat="false" ht="15" hidden="false" customHeight="false" outlineLevel="0" collapsed="false">
      <c r="B101" s="12" t="s">
        <v>276</v>
      </c>
      <c r="C101" s="5" t="s">
        <v>99</v>
      </c>
      <c r="D101" s="13" t="s">
        <v>80</v>
      </c>
      <c r="E101" s="14" t="n">
        <v>1</v>
      </c>
      <c r="F101" s="15" t="n">
        <v>1.611</v>
      </c>
      <c r="G101" s="16" t="n">
        <v>45862</v>
      </c>
      <c r="H101" s="12"/>
      <c r="I101" s="12" t="e">
        <f aca="false">IF($D101="","",_xlfn.xlookup($D101,$R:$R,$S:$S,""))</f>
        <v>#NAME?</v>
      </c>
      <c r="J101" s="12" t="e">
        <f aca="false">IF($D101="","",_xlfn.xlookup($D101,$R:$R,$T:$T,""))</f>
        <v>#NAME?</v>
      </c>
      <c r="K101" s="12" t="e">
        <f aca="false">IF($D101="","",_xlfn.xlookup($D101,$R:$R,$U:$U,""))</f>
        <v>#NAME?</v>
      </c>
      <c r="L101" s="12" t="e">
        <f aca="false">IF($D101="","",_xlfn.xlookup($D101,$R:$R,$V:$V,""))</f>
        <v>#NAME?</v>
      </c>
      <c r="M101" s="12" t="e">
        <f aca="false">IF($D101="","",_xlfn.xlookup($D101,$R:$R,$W:$W,""))</f>
        <v>#NAME?</v>
      </c>
      <c r="N101" s="12" t="e">
        <f aca="false">IF($D101="","",_xlfn.xlookup($D101,$R:$R,$X:$X,""))</f>
        <v>#NAME?</v>
      </c>
      <c r="O101" s="12" t="e">
        <f aca="false">IF($D101="","",_xlfn.xlookup($D101,$R:$R,$Y:$Y,""))</f>
        <v>#NAME?</v>
      </c>
      <c r="P101" s="12" t="e">
        <f aca="false">IF($D101="","",_xlfn.xlookup($D101,$R:$R,$Z:$Z,""))</f>
        <v>#NAME?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customFormat="false" ht="15" hidden="false" customHeight="false" outlineLevel="0" collapsed="false">
      <c r="B102" s="12" t="s">
        <v>277</v>
      </c>
      <c r="C102" s="5" t="s">
        <v>17</v>
      </c>
      <c r="D102" s="13" t="s">
        <v>76</v>
      </c>
      <c r="E102" s="14" t="n">
        <v>1</v>
      </c>
      <c r="F102" s="15" t="n">
        <v>1.2</v>
      </c>
      <c r="G102" s="16" t="n">
        <v>45951</v>
      </c>
      <c r="H102" s="12"/>
      <c r="I102" s="12" t="e">
        <f aca="false">IF($D102="","",_xlfn.xlookup($D102,$R:$R,$S:$S,""))</f>
        <v>#NAME?</v>
      </c>
      <c r="J102" s="12" t="e">
        <f aca="false">IF($D102="","",_xlfn.xlookup($D102,$R:$R,$T:$T,""))</f>
        <v>#NAME?</v>
      </c>
      <c r="K102" s="12" t="e">
        <f aca="false">IF($D102="","",_xlfn.xlookup($D102,$R:$R,$U:$U,""))</f>
        <v>#NAME?</v>
      </c>
      <c r="L102" s="12" t="e">
        <f aca="false">IF($D102="","",_xlfn.xlookup($D102,$R:$R,$V:$V,""))</f>
        <v>#NAME?</v>
      </c>
      <c r="M102" s="12" t="e">
        <f aca="false">IF($D102="","",_xlfn.xlookup($D102,$R:$R,$W:$W,""))</f>
        <v>#NAME?</v>
      </c>
      <c r="N102" s="12" t="e">
        <f aca="false">IF($D102="","",_xlfn.xlookup($D102,$R:$R,$X:$X,""))</f>
        <v>#NAME?</v>
      </c>
      <c r="O102" s="12" t="e">
        <f aca="false">IF($D102="","",_xlfn.xlookup($D102,$R:$R,$Y:$Y,""))</f>
        <v>#NAME?</v>
      </c>
      <c r="P102" s="12" t="e">
        <f aca="false">IF($D102="","",_xlfn.xlookup($D102,$R:$R,$Z:$Z,""))</f>
        <v>#NAME?</v>
      </c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customFormat="false" ht="15" hidden="false" customHeight="false" outlineLevel="0" collapsed="false">
      <c r="B103" s="12" t="s">
        <v>278</v>
      </c>
      <c r="C103" s="5" t="s">
        <v>21</v>
      </c>
      <c r="D103" s="21" t="s">
        <v>279</v>
      </c>
      <c r="E103" s="22" t="n">
        <v>1</v>
      </c>
      <c r="F103" s="23" t="n">
        <v>1.15</v>
      </c>
      <c r="G103" s="16" t="n">
        <v>45946</v>
      </c>
      <c r="H103" s="12"/>
      <c r="I103" s="12" t="e">
        <f aca="false">IF($D103="","",_xlfn.xlookup($D103,$R:$R,$S:$S,""))</f>
        <v>#NAME?</v>
      </c>
      <c r="J103" s="12" t="e">
        <f aca="false">IF($D103="","",_xlfn.xlookup($D103,$R:$R,$T:$T,""))</f>
        <v>#NAME?</v>
      </c>
      <c r="K103" s="12" t="e">
        <f aca="false">IF($D103="","",_xlfn.xlookup($D103,$R:$R,$U:$U,""))</f>
        <v>#NAME?</v>
      </c>
      <c r="L103" s="12" t="e">
        <f aca="false">IF($D103="","",_xlfn.xlookup($D103,$R:$R,$V:$V,""))</f>
        <v>#NAME?</v>
      </c>
      <c r="M103" s="12" t="e">
        <f aca="false">IF($D103="","",_xlfn.xlookup($D103,$R:$R,$W:$W,""))</f>
        <v>#NAME?</v>
      </c>
      <c r="N103" s="12" t="e">
        <f aca="false">IF($D103="","",_xlfn.xlookup($D103,$R:$R,$X:$X,""))</f>
        <v>#NAME?</v>
      </c>
      <c r="O103" s="12" t="e">
        <f aca="false">IF($D103="","",_xlfn.xlookup($D103,$R:$R,$Y:$Y,""))</f>
        <v>#NAME?</v>
      </c>
      <c r="P103" s="12" t="e">
        <f aca="false">IF($D103="","",_xlfn.xlookup($D103,$R:$R,$Z:$Z,""))</f>
        <v>#NAME?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customFormat="false" ht="15" hidden="false" customHeight="false" outlineLevel="0" collapsed="false">
      <c r="B104" s="12" t="s">
        <v>280</v>
      </c>
      <c r="C104" s="5" t="s">
        <v>25</v>
      </c>
      <c r="D104" s="13" t="s">
        <v>72</v>
      </c>
      <c r="E104" s="14" t="n">
        <v>1</v>
      </c>
      <c r="F104" s="15" t="n">
        <v>1.217</v>
      </c>
      <c r="G104" s="16" t="n">
        <v>45946</v>
      </c>
      <c r="H104" s="12"/>
      <c r="I104" s="12" t="e">
        <f aca="false">IF($D104="","",_xlfn.xlookup($D104,$R:$R,$S:$S,""))</f>
        <v>#NAME?</v>
      </c>
      <c r="J104" s="12" t="e">
        <f aca="false">IF($D104="","",_xlfn.xlookup($D104,$R:$R,$T:$T,""))</f>
        <v>#NAME?</v>
      </c>
      <c r="K104" s="12" t="e">
        <f aca="false">IF($D104="","",_xlfn.xlookup($D104,$R:$R,$U:$U,""))</f>
        <v>#NAME?</v>
      </c>
      <c r="L104" s="12" t="e">
        <f aca="false">IF($D104="","",_xlfn.xlookup($D104,$R:$R,$V:$V,""))</f>
        <v>#NAME?</v>
      </c>
      <c r="M104" s="12" t="e">
        <f aca="false">IF($D104="","",_xlfn.xlookup($D104,$R:$R,$W:$W,""))</f>
        <v>#NAME?</v>
      </c>
      <c r="N104" s="12" t="e">
        <f aca="false">IF($D104="","",_xlfn.xlookup($D104,$R:$R,$X:$X,""))</f>
        <v>#NAME?</v>
      </c>
      <c r="O104" s="12" t="e">
        <f aca="false">IF($D104="","",_xlfn.xlookup($D104,$R:$R,$Y:$Y,""))</f>
        <v>#NAME?</v>
      </c>
      <c r="P104" s="12" t="e">
        <f aca="false">IF($D104="","",_xlfn.xlookup($D104,$R:$R,$Z:$Z,""))</f>
        <v>#NAME?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customFormat="false" ht="15" hidden="false" customHeight="false" outlineLevel="0" collapsed="false">
      <c r="B105" s="12" t="s">
        <v>281</v>
      </c>
      <c r="C105" s="5" t="s">
        <v>282</v>
      </c>
      <c r="D105" s="24"/>
      <c r="E105" s="25" t="n">
        <v>1</v>
      </c>
      <c r="F105" s="26"/>
      <c r="G105" s="16" t="n">
        <v>45951</v>
      </c>
      <c r="H105" s="12"/>
      <c r="I105" s="12" t="str">
        <f aca="false">IF($D105="","",_xlfn.xlookup($D105,$R:$R,$S:$S,""))</f>
        <v/>
      </c>
      <c r="J105" s="12" t="str">
        <f aca="false">IF($D105="","",_xlfn.xlookup($D105,$R:$R,$T:$T,""))</f>
        <v/>
      </c>
      <c r="K105" s="12" t="str">
        <f aca="false">IF($D105="","",_xlfn.xlookup($D105,$R:$R,$U:$U,""))</f>
        <v/>
      </c>
      <c r="L105" s="12" t="str">
        <f aca="false">IF($D105="","",_xlfn.xlookup($D105,$R:$R,$V:$V,""))</f>
        <v/>
      </c>
      <c r="M105" s="12" t="str">
        <f aca="false">IF($D105="","",_xlfn.xlookup($D105,$R:$R,$W:$W,""))</f>
        <v/>
      </c>
      <c r="N105" s="12" t="str">
        <f aca="false">IF($D105="","",_xlfn.xlookup($D105,$R:$R,$X:$X,""))</f>
        <v/>
      </c>
      <c r="O105" s="12" t="str">
        <f aca="false">IF($D105="","",_xlfn.xlookup($D105,$R:$R,$Y:$Y,""))</f>
        <v/>
      </c>
      <c r="P105" s="12" t="str">
        <f aca="false">IF($D105="","",_xlfn.xlookup($D105,$R:$R,$Z:$Z,""))</f>
        <v/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customFormat="false" ht="15" hidden="false" customHeight="false" outlineLevel="0" collapsed="false">
      <c r="B106" s="12" t="s">
        <v>283</v>
      </c>
      <c r="C106" s="5" t="s">
        <v>88</v>
      </c>
      <c r="D106" s="13" t="s">
        <v>68</v>
      </c>
      <c r="E106" s="14" t="n">
        <v>1</v>
      </c>
      <c r="F106" s="15" t="n">
        <v>0.922</v>
      </c>
      <c r="G106" s="16" t="n">
        <v>45922</v>
      </c>
      <c r="H106" s="12"/>
      <c r="I106" s="12" t="e">
        <f aca="false">IF($D106="","",_xlfn.xlookup($D106,$R:$R,$S:$S,""))</f>
        <v>#NAME?</v>
      </c>
      <c r="J106" s="12" t="e">
        <f aca="false">IF($D106="","",_xlfn.xlookup($D106,$R:$R,$T:$T,""))</f>
        <v>#NAME?</v>
      </c>
      <c r="K106" s="12" t="e">
        <f aca="false">IF($D106="","",_xlfn.xlookup($D106,$R:$R,$U:$U,""))</f>
        <v>#NAME?</v>
      </c>
      <c r="L106" s="12" t="e">
        <f aca="false">IF($D106="","",_xlfn.xlookup($D106,$R:$R,$V:$V,""))</f>
        <v>#NAME?</v>
      </c>
      <c r="M106" s="12" t="e">
        <f aca="false">IF($D106="","",_xlfn.xlookup($D106,$R:$R,$W:$W,""))</f>
        <v>#NAME?</v>
      </c>
      <c r="N106" s="12" t="e">
        <f aca="false">IF($D106="","",_xlfn.xlookup($D106,$R:$R,$X:$X,""))</f>
        <v>#NAME?</v>
      </c>
      <c r="O106" s="12" t="e">
        <f aca="false">IF($D106="","",_xlfn.xlookup($D106,$R:$R,$Y:$Y,""))</f>
        <v>#NAME?</v>
      </c>
      <c r="P106" s="12" t="e">
        <f aca="false">IF($D106="","",_xlfn.xlookup($D106,$R:$R,$Z:$Z,""))</f>
        <v>#NAME?</v>
      </c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customFormat="false" ht="15" hidden="false" customHeight="false" outlineLevel="0" collapsed="false">
      <c r="B107" s="12" t="s">
        <v>284</v>
      </c>
      <c r="C107" s="5" t="s">
        <v>99</v>
      </c>
      <c r="D107" s="13" t="s">
        <v>61</v>
      </c>
      <c r="E107" s="14" t="n">
        <v>1</v>
      </c>
      <c r="F107" s="15" t="n">
        <v>1.547</v>
      </c>
      <c r="G107" s="16" t="n">
        <v>45923</v>
      </c>
      <c r="H107" s="12"/>
      <c r="I107" s="12" t="e">
        <f aca="false">IF($D107="","",_xlfn.xlookup($D107,$R:$R,$S:$S,""))</f>
        <v>#NAME?</v>
      </c>
      <c r="J107" s="12" t="e">
        <f aca="false">IF($D107="","",_xlfn.xlookup($D107,$R:$R,$T:$T,""))</f>
        <v>#NAME?</v>
      </c>
      <c r="K107" s="12" t="e">
        <f aca="false">IF($D107="","",_xlfn.xlookup($D107,$R:$R,$U:$U,""))</f>
        <v>#NAME?</v>
      </c>
      <c r="L107" s="12" t="e">
        <f aca="false">IF($D107="","",_xlfn.xlookup($D107,$R:$R,$V:$V,""))</f>
        <v>#NAME?</v>
      </c>
      <c r="M107" s="12" t="e">
        <f aca="false">IF($D107="","",_xlfn.xlookup($D107,$R:$R,$W:$W,""))</f>
        <v>#NAME?</v>
      </c>
      <c r="N107" s="12" t="e">
        <f aca="false">IF($D107="","",_xlfn.xlookup($D107,$R:$R,$X:$X,""))</f>
        <v>#NAME?</v>
      </c>
      <c r="O107" s="12" t="e">
        <f aca="false">IF($D107="","",_xlfn.xlookup($D107,$R:$R,$Y:$Y,""))</f>
        <v>#NAME?</v>
      </c>
      <c r="P107" s="12" t="e">
        <f aca="false">IF($D107="","",_xlfn.xlookup($D107,$R:$R,$Z:$Z,""))</f>
        <v>#NAME?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customFormat="false" ht="15" hidden="false" customHeight="false" outlineLevel="0" collapsed="false">
      <c r="B108" s="12" t="s">
        <v>285</v>
      </c>
      <c r="C108" s="5" t="s">
        <v>88</v>
      </c>
      <c r="D108" s="24"/>
      <c r="E108" s="25" t="n">
        <v>1</v>
      </c>
      <c r="F108" s="26"/>
      <c r="G108" s="16" t="n">
        <v>45931</v>
      </c>
      <c r="H108" s="12"/>
      <c r="I108" s="12" t="str">
        <f aca="false">IF($D108="","",_xlfn.xlookup($D108,$R:$R,$S:$S,""))</f>
        <v/>
      </c>
      <c r="J108" s="12" t="str">
        <f aca="false">IF($D108="","",_xlfn.xlookup($D108,$R:$R,$T:$T,""))</f>
        <v/>
      </c>
      <c r="K108" s="12" t="str">
        <f aca="false">IF($D108="","",_xlfn.xlookup($D108,$R:$R,$U:$U,""))</f>
        <v/>
      </c>
      <c r="L108" s="12" t="str">
        <f aca="false">IF($D108="","",_xlfn.xlookup($D108,$R:$R,$V:$V,""))</f>
        <v/>
      </c>
      <c r="M108" s="12" t="str">
        <f aca="false">IF($D108="","",_xlfn.xlookup($D108,$R:$R,$W:$W,""))</f>
        <v/>
      </c>
      <c r="N108" s="12" t="str">
        <f aca="false">IF($D108="","",_xlfn.xlookup($D108,$R:$R,$X:$X,""))</f>
        <v/>
      </c>
      <c r="O108" s="12" t="str">
        <f aca="false">IF($D108="","",_xlfn.xlookup($D108,$R:$R,$Y:$Y,""))</f>
        <v/>
      </c>
      <c r="P108" s="12" t="str">
        <f aca="false">IF($D108="","",_xlfn.xlookup($D108,$R:$R,$Z:$Z,""))</f>
        <v/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customFormat="false" ht="15" hidden="false" customHeight="false" outlineLevel="0" collapsed="false">
      <c r="B109" s="12" t="s">
        <v>286</v>
      </c>
      <c r="C109" s="5" t="s">
        <v>88</v>
      </c>
      <c r="D109" s="24"/>
      <c r="E109" s="25" t="n">
        <v>1</v>
      </c>
      <c r="F109" s="26"/>
      <c r="G109" s="16" t="n">
        <v>45931</v>
      </c>
      <c r="H109" s="12"/>
      <c r="I109" s="12" t="str">
        <f aca="false">IF($D109="","",_xlfn.xlookup($D109,$R:$R,$S:$S,""))</f>
        <v/>
      </c>
      <c r="J109" s="12" t="str">
        <f aca="false">IF($D109="","",_xlfn.xlookup($D109,$R:$R,$T:$T,""))</f>
        <v/>
      </c>
      <c r="K109" s="12" t="str">
        <f aca="false">IF($D109="","",_xlfn.xlookup($D109,$R:$R,$U:$U,""))</f>
        <v/>
      </c>
      <c r="L109" s="12" t="str">
        <f aca="false">IF($D109="","",_xlfn.xlookup($D109,$R:$R,$V:$V,""))</f>
        <v/>
      </c>
      <c r="M109" s="12" t="str">
        <f aca="false">IF($D109="","",_xlfn.xlookup($D109,$R:$R,$W:$W,""))</f>
        <v/>
      </c>
      <c r="N109" s="12" t="str">
        <f aca="false">IF($D109="","",_xlfn.xlookup($D109,$R:$R,$X:$X,""))</f>
        <v/>
      </c>
      <c r="O109" s="12" t="str">
        <f aca="false">IF($D109="","",_xlfn.xlookup($D109,$R:$R,$Y:$Y,""))</f>
        <v/>
      </c>
      <c r="P109" s="12" t="str">
        <f aca="false">IF($D109="","",_xlfn.xlookup($D109,$R:$R,$Z:$Z,""))</f>
        <v/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customFormat="false" ht="15" hidden="false" customHeight="false" outlineLevel="0" collapsed="false">
      <c r="B110" s="12" t="s">
        <v>287</v>
      </c>
      <c r="C110" s="5" t="s">
        <v>88</v>
      </c>
      <c r="D110" s="21" t="s">
        <v>288</v>
      </c>
      <c r="E110" s="22" t="n">
        <v>1</v>
      </c>
      <c r="F110" s="23" t="n">
        <v>1.495</v>
      </c>
      <c r="G110" s="16" t="n">
        <v>45923</v>
      </c>
      <c r="H110" s="12"/>
      <c r="I110" s="12" t="e">
        <f aca="false">IF($D110="","",_xlfn.xlookup($D110,$R:$R,$S:$S,""))</f>
        <v>#NAME?</v>
      </c>
      <c r="J110" s="12" t="e">
        <f aca="false">IF($D110="","",_xlfn.xlookup($D110,$R:$R,$T:$T,""))</f>
        <v>#NAME?</v>
      </c>
      <c r="K110" s="12" t="e">
        <f aca="false">IF($D110="","",_xlfn.xlookup($D110,$R:$R,$U:$U,""))</f>
        <v>#NAME?</v>
      </c>
      <c r="L110" s="12" t="e">
        <f aca="false">IF($D110="","",_xlfn.xlookup($D110,$R:$R,$V:$V,""))</f>
        <v>#NAME?</v>
      </c>
      <c r="M110" s="12" t="e">
        <f aca="false">IF($D110="","",_xlfn.xlookup($D110,$R:$R,$W:$W,""))</f>
        <v>#NAME?</v>
      </c>
      <c r="N110" s="12" t="e">
        <f aca="false">IF($D110="","",_xlfn.xlookup($D110,$R:$R,$X:$X,""))</f>
        <v>#NAME?</v>
      </c>
      <c r="O110" s="12" t="e">
        <f aca="false">IF($D110="","",_xlfn.xlookup($D110,$R:$R,$Y:$Y,""))</f>
        <v>#NAME?</v>
      </c>
      <c r="P110" s="12" t="e">
        <f aca="false">IF($D110="","",_xlfn.xlookup($D110,$R:$R,$Z:$Z,""))</f>
        <v>#NAME?</v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customFormat="false" ht="15" hidden="false" customHeight="false" outlineLevel="0" collapsed="false">
      <c r="B111" s="12" t="s">
        <v>289</v>
      </c>
      <c r="C111" s="5" t="s">
        <v>88</v>
      </c>
      <c r="D111" s="21" t="s">
        <v>290</v>
      </c>
      <c r="E111" s="22" t="n">
        <v>1</v>
      </c>
      <c r="F111" s="23" t="n">
        <v>0.887</v>
      </c>
      <c r="G111" s="16" t="n">
        <v>45923</v>
      </c>
      <c r="H111" s="12"/>
      <c r="I111" s="12" t="e">
        <f aca="false">IF($D111="","",_xlfn.xlookup($D111,$R:$R,$S:$S,""))</f>
        <v>#NAME?</v>
      </c>
      <c r="J111" s="12" t="e">
        <f aca="false">IF($D111="","",_xlfn.xlookup($D111,$R:$R,$T:$T,""))</f>
        <v>#NAME?</v>
      </c>
      <c r="K111" s="12" t="e">
        <f aca="false">IF($D111="","",_xlfn.xlookup($D111,$R:$R,$U:$U,""))</f>
        <v>#NAME?</v>
      </c>
      <c r="L111" s="12" t="e">
        <f aca="false">IF($D111="","",_xlfn.xlookup($D111,$R:$R,$V:$V,""))</f>
        <v>#NAME?</v>
      </c>
      <c r="M111" s="12" t="e">
        <f aca="false">IF($D111="","",_xlfn.xlookup($D111,$R:$R,$W:$W,""))</f>
        <v>#NAME?</v>
      </c>
      <c r="N111" s="12" t="e">
        <f aca="false">IF($D111="","",_xlfn.xlookup($D111,$R:$R,$X:$X,""))</f>
        <v>#NAME?</v>
      </c>
      <c r="O111" s="12" t="e">
        <f aca="false">IF($D111="","",_xlfn.xlookup($D111,$R:$R,$Y:$Y,""))</f>
        <v>#NAME?</v>
      </c>
      <c r="P111" s="12" t="e">
        <f aca="false">IF($D111="","",_xlfn.xlookup($D111,$R:$R,$Z:$Z,""))</f>
        <v>#NAME?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customFormat="false" ht="15" hidden="false" customHeight="false" outlineLevel="0" collapsed="false">
      <c r="B112" s="12" t="s">
        <v>291</v>
      </c>
      <c r="C112" s="5" t="s">
        <v>292</v>
      </c>
      <c r="D112" s="24"/>
      <c r="E112" s="25" t="n">
        <v>1</v>
      </c>
      <c r="F112" s="26"/>
      <c r="G112" s="16" t="n">
        <v>45967</v>
      </c>
      <c r="H112" s="12"/>
      <c r="I112" s="12" t="str">
        <f aca="false">IF($D112="","",_xlfn.xlookup($D112,$R:$R,$S:$S,""))</f>
        <v/>
      </c>
      <c r="J112" s="12" t="str">
        <f aca="false">IF($D112="","",_xlfn.xlookup($D112,$R:$R,$T:$T,""))</f>
        <v/>
      </c>
      <c r="K112" s="12" t="str">
        <f aca="false">IF($D112="","",_xlfn.xlookup($D112,$R:$R,$U:$U,""))</f>
        <v/>
      </c>
      <c r="L112" s="12" t="str">
        <f aca="false">IF($D112="","",_xlfn.xlookup($D112,$R:$R,$V:$V,""))</f>
        <v/>
      </c>
      <c r="M112" s="12" t="str">
        <f aca="false">IF($D112="","",_xlfn.xlookup($D112,$R:$R,$W:$W,""))</f>
        <v/>
      </c>
      <c r="N112" s="12" t="str">
        <f aca="false">IF($D112="","",_xlfn.xlookup($D112,$R:$R,$X:$X,""))</f>
        <v/>
      </c>
      <c r="O112" s="12" t="str">
        <f aca="false">IF($D112="","",_xlfn.xlookup($D112,$R:$R,$Y:$Y,""))</f>
        <v/>
      </c>
      <c r="P112" s="12" t="str">
        <f aca="false">IF($D112="","",_xlfn.xlookup($D112,$R:$R,$Z:$Z,""))</f>
        <v/>
      </c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customFormat="false" ht="15" hidden="false" customHeight="false" outlineLevel="0" collapsed="false">
      <c r="B113" s="12" t="s">
        <v>293</v>
      </c>
      <c r="C113" s="5" t="s">
        <v>294</v>
      </c>
      <c r="D113" s="24"/>
      <c r="E113" s="25" t="n">
        <v>1</v>
      </c>
      <c r="F113" s="26"/>
      <c r="G113" s="16" t="n">
        <v>45939</v>
      </c>
      <c r="H113" s="12"/>
      <c r="I113" s="12" t="str">
        <f aca="false">IF($D113="","",_xlfn.xlookup($D113,$R:$R,$S:$S,""))</f>
        <v/>
      </c>
      <c r="J113" s="12" t="str">
        <f aca="false">IF($D113="","",_xlfn.xlookup($D113,$R:$R,$T:$T,""))</f>
        <v/>
      </c>
      <c r="K113" s="12" t="str">
        <f aca="false">IF($D113="","",_xlfn.xlookup($D113,$R:$R,$U:$U,""))</f>
        <v/>
      </c>
      <c r="L113" s="12" t="str">
        <f aca="false">IF($D113="","",_xlfn.xlookup($D113,$R:$R,$V:$V,""))</f>
        <v/>
      </c>
      <c r="M113" s="12" t="str">
        <f aca="false">IF($D113="","",_xlfn.xlookup($D113,$R:$R,$W:$W,""))</f>
        <v/>
      </c>
      <c r="N113" s="12" t="str">
        <f aca="false">IF($D113="","",_xlfn.xlookup($D113,$R:$R,$X:$X,""))</f>
        <v/>
      </c>
      <c r="O113" s="12" t="str">
        <f aca="false">IF($D113="","",_xlfn.xlookup($D113,$R:$R,$Y:$Y,""))</f>
        <v/>
      </c>
      <c r="P113" s="12" t="str">
        <f aca="false">IF($D113="","",_xlfn.xlookup($D113,$R:$R,$Z:$Z,""))</f>
        <v/>
      </c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customFormat="false" ht="15" hidden="false" customHeight="false" outlineLevel="0" collapsed="false">
      <c r="B114" s="12" t="s">
        <v>295</v>
      </c>
      <c r="C114" s="5" t="s">
        <v>296</v>
      </c>
      <c r="D114" s="13" t="s">
        <v>59</v>
      </c>
      <c r="E114" s="14" t="n">
        <v>1</v>
      </c>
      <c r="F114" s="15" t="n">
        <v>0.992</v>
      </c>
      <c r="G114" s="16" t="n">
        <v>45972</v>
      </c>
      <c r="H114" s="12"/>
      <c r="I114" s="12" t="e">
        <f aca="false">IF($D114="","",_xlfn.xlookup($D114,$R:$R,$S:$S,""))</f>
        <v>#NAME?</v>
      </c>
      <c r="J114" s="12" t="e">
        <f aca="false">IF($D114="","",_xlfn.xlookup($D114,$R:$R,$T:$T,""))</f>
        <v>#NAME?</v>
      </c>
      <c r="K114" s="12" t="e">
        <f aca="false">IF($D114="","",_xlfn.xlookup($D114,$R:$R,$U:$U,""))</f>
        <v>#NAME?</v>
      </c>
      <c r="L114" s="12" t="e">
        <f aca="false">IF($D114="","",_xlfn.xlookup($D114,$R:$R,$V:$V,""))</f>
        <v>#NAME?</v>
      </c>
      <c r="M114" s="12" t="e">
        <f aca="false">IF($D114="","",_xlfn.xlookup($D114,$R:$R,$W:$W,""))</f>
        <v>#NAME?</v>
      </c>
      <c r="N114" s="12" t="e">
        <f aca="false">IF($D114="","",_xlfn.xlookup($D114,$R:$R,$X:$X,""))</f>
        <v>#NAME?</v>
      </c>
      <c r="O114" s="12" t="e">
        <f aca="false">IF($D114="","",_xlfn.xlookup($D114,$R:$R,$Y:$Y,""))</f>
        <v>#NAME?</v>
      </c>
      <c r="P114" s="12" t="e">
        <f aca="false">IF($D114="","",_xlfn.xlookup($D114,$R:$R,$Z:$Z,""))</f>
        <v>#NAME?</v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customFormat="false" ht="15" hidden="false" customHeight="false" outlineLevel="0" collapsed="false">
      <c r="B115" s="12" t="s">
        <v>297</v>
      </c>
      <c r="C115" s="5" t="s">
        <v>21</v>
      </c>
      <c r="D115" s="13" t="s">
        <v>57</v>
      </c>
      <c r="E115" s="14" t="n">
        <v>1</v>
      </c>
      <c r="F115" s="15" t="n">
        <v>1.164</v>
      </c>
      <c r="G115" s="16" t="n">
        <v>45972</v>
      </c>
      <c r="H115" s="12"/>
      <c r="I115" s="12" t="e">
        <f aca="false">IF($D115="","",_xlfn.xlookup($D115,$R:$R,$S:$S,""))</f>
        <v>#NAME?</v>
      </c>
      <c r="J115" s="12" t="e">
        <f aca="false">IF($D115="","",_xlfn.xlookup($D115,$R:$R,$T:$T,""))</f>
        <v>#NAME?</v>
      </c>
      <c r="K115" s="12" t="e">
        <f aca="false">IF($D115="","",_xlfn.xlookup($D115,$R:$R,$U:$U,""))</f>
        <v>#NAME?</v>
      </c>
      <c r="L115" s="12" t="e">
        <f aca="false">IF($D115="","",_xlfn.xlookup($D115,$R:$R,$V:$V,""))</f>
        <v>#NAME?</v>
      </c>
      <c r="M115" s="12" t="e">
        <f aca="false">IF($D115="","",_xlfn.xlookup($D115,$R:$R,$W:$W,""))</f>
        <v>#NAME?</v>
      </c>
      <c r="N115" s="12" t="e">
        <f aca="false">IF($D115="","",_xlfn.xlookup($D115,$R:$R,$X:$X,""))</f>
        <v>#NAME?</v>
      </c>
      <c r="O115" s="12" t="e">
        <f aca="false">IF($D115="","",_xlfn.xlookup($D115,$R:$R,$Y:$Y,""))</f>
        <v>#NAME?</v>
      </c>
      <c r="P115" s="12" t="e">
        <f aca="false">IF($D115="","",_xlfn.xlookup($D115,$R:$R,$Z:$Z,""))</f>
        <v>#NAME?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customFormat="false" ht="15" hidden="false" customHeight="false" outlineLevel="0" collapsed="false">
      <c r="B116" s="12" t="s">
        <v>298</v>
      </c>
      <c r="C116" s="5" t="s">
        <v>299</v>
      </c>
      <c r="D116" s="13" t="s">
        <v>50</v>
      </c>
      <c r="E116" s="14" t="n">
        <v>1</v>
      </c>
      <c r="F116" s="15" t="n">
        <v>0.948</v>
      </c>
      <c r="G116" s="16" t="n">
        <v>45975</v>
      </c>
      <c r="H116" s="12"/>
      <c r="I116" s="12" t="e">
        <f aca="false">IF($D116="","",_xlfn.xlookup($D116,$R:$R,$S:$S,""))</f>
        <v>#NAME?</v>
      </c>
      <c r="J116" s="12" t="e">
        <f aca="false">IF($D116="","",_xlfn.xlookup($D116,$R:$R,$T:$T,""))</f>
        <v>#NAME?</v>
      </c>
      <c r="K116" s="12" t="e">
        <f aca="false">IF($D116="","",_xlfn.xlookup($D116,$R:$R,$U:$U,""))</f>
        <v>#NAME?</v>
      </c>
      <c r="L116" s="12" t="e">
        <f aca="false">IF($D116="","",_xlfn.xlookup($D116,$R:$R,$V:$V,""))</f>
        <v>#NAME?</v>
      </c>
      <c r="M116" s="12" t="e">
        <f aca="false">IF($D116="","",_xlfn.xlookup($D116,$R:$R,$W:$W,""))</f>
        <v>#NAME?</v>
      </c>
      <c r="N116" s="12" t="e">
        <f aca="false">IF($D116="","",_xlfn.xlookup($D116,$R:$R,$X:$X,""))</f>
        <v>#NAME?</v>
      </c>
      <c r="O116" s="12" t="e">
        <f aca="false">IF($D116="","",_xlfn.xlookup($D116,$R:$R,$Y:$Y,""))</f>
        <v>#NAME?</v>
      </c>
      <c r="P116" s="12" t="e">
        <f aca="false">IF($D116="","",_xlfn.xlookup($D116,$R:$R,$Z:$Z,""))</f>
        <v>#NAME?</v>
      </c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customFormat="false" ht="15" hidden="false" customHeight="false" outlineLevel="0" collapsed="false">
      <c r="B117" s="12" t="s">
        <v>300</v>
      </c>
      <c r="C117" s="5" t="s">
        <v>301</v>
      </c>
      <c r="D117" s="21" t="s">
        <v>302</v>
      </c>
      <c r="E117" s="22" t="n">
        <v>1</v>
      </c>
      <c r="F117" s="23" t="n">
        <v>0.984</v>
      </c>
      <c r="G117" s="16" t="n">
        <v>45975</v>
      </c>
      <c r="H117" s="12"/>
      <c r="I117" s="12" t="e">
        <f aca="false">IF($D117="","",_xlfn.xlookup($D117,$R:$R,$S:$S,""))</f>
        <v>#NAME?</v>
      </c>
      <c r="J117" s="12" t="e">
        <f aca="false">IF($D117="","",_xlfn.xlookup($D117,$R:$R,$T:$T,""))</f>
        <v>#NAME?</v>
      </c>
      <c r="K117" s="12" t="e">
        <f aca="false">IF($D117="","",_xlfn.xlookup($D117,$R:$R,$U:$U,""))</f>
        <v>#NAME?</v>
      </c>
      <c r="L117" s="12" t="e">
        <f aca="false">IF($D117="","",_xlfn.xlookup($D117,$R:$R,$V:$V,""))</f>
        <v>#NAME?</v>
      </c>
      <c r="M117" s="12" t="e">
        <f aca="false">IF($D117="","",_xlfn.xlookup($D117,$R:$R,$W:$W,""))</f>
        <v>#NAME?</v>
      </c>
      <c r="N117" s="12" t="e">
        <f aca="false">IF($D117="","",_xlfn.xlookup($D117,$R:$R,$X:$X,""))</f>
        <v>#NAME?</v>
      </c>
      <c r="O117" s="12" t="e">
        <f aca="false">IF($D117="","",_xlfn.xlookup($D117,$R:$R,$Y:$Y,""))</f>
        <v>#NAME?</v>
      </c>
      <c r="P117" s="12" t="e">
        <f aca="false">IF($D117="","",_xlfn.xlookup($D117,$R:$R,$Z:$Z,""))</f>
        <v>#NAME?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customFormat="false" ht="15" hidden="false" customHeight="false" outlineLevel="0" collapsed="false">
      <c r="B118" s="12" t="s">
        <v>303</v>
      </c>
      <c r="C118" s="5" t="s">
        <v>304</v>
      </c>
      <c r="D118" s="24"/>
      <c r="E118" s="25" t="n">
        <v>1</v>
      </c>
      <c r="F118" s="26"/>
      <c r="G118" s="16" t="n">
        <v>45975</v>
      </c>
      <c r="H118" s="12"/>
      <c r="I118" s="12" t="str">
        <f aca="false">IF($D118="","",_xlfn.xlookup($D118,$R:$R,$S:$S,""))</f>
        <v/>
      </c>
      <c r="J118" s="12" t="str">
        <f aca="false">IF($D118="","",_xlfn.xlookup($D118,$R:$R,$T:$T,""))</f>
        <v/>
      </c>
      <c r="K118" s="12" t="str">
        <f aca="false">IF($D118="","",_xlfn.xlookup($D118,$R:$R,$U:$U,""))</f>
        <v/>
      </c>
      <c r="L118" s="12" t="str">
        <f aca="false">IF($D118="","",_xlfn.xlookup($D118,$R:$R,$V:$V,""))</f>
        <v/>
      </c>
      <c r="M118" s="12" t="str">
        <f aca="false">IF($D118="","",_xlfn.xlookup($D118,$R:$R,$W:$W,""))</f>
        <v/>
      </c>
      <c r="N118" s="12" t="str">
        <f aca="false">IF($D118="","",_xlfn.xlookup($D118,$R:$R,$X:$X,""))</f>
        <v/>
      </c>
      <c r="O118" s="12" t="str">
        <f aca="false">IF($D118="","",_xlfn.xlookup($D118,$R:$R,$Y:$Y,""))</f>
        <v/>
      </c>
      <c r="P118" s="12" t="str">
        <f aca="false">IF($D118="","",_xlfn.xlookup($D118,$R:$R,$Z:$Z,""))</f>
        <v/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customFormat="false" ht="15" hidden="false" customHeight="false" outlineLevel="0" collapsed="false">
      <c r="B119" s="12" t="s">
        <v>305</v>
      </c>
      <c r="C119" s="5" t="s">
        <v>306</v>
      </c>
      <c r="D119" s="24"/>
      <c r="E119" s="25" t="n">
        <v>1</v>
      </c>
      <c r="F119" s="26"/>
      <c r="G119" s="16" t="n">
        <v>45938</v>
      </c>
      <c r="H119" s="12"/>
      <c r="I119" s="12" t="str">
        <f aca="false">IF($D119="","",_xlfn.xlookup($D119,$R:$R,$S:$S,""))</f>
        <v/>
      </c>
      <c r="J119" s="12" t="str">
        <f aca="false">IF($D119="","",_xlfn.xlookup($D119,$R:$R,$T:$T,""))</f>
        <v/>
      </c>
      <c r="K119" s="12" t="str">
        <f aca="false">IF($D119="","",_xlfn.xlookup($D119,$R:$R,$U:$U,""))</f>
        <v/>
      </c>
      <c r="L119" s="12" t="str">
        <f aca="false">IF($D119="","",_xlfn.xlookup($D119,$R:$R,$V:$V,""))</f>
        <v/>
      </c>
      <c r="M119" s="12" t="str">
        <f aca="false">IF($D119="","",_xlfn.xlookup($D119,$R:$R,$W:$W,""))</f>
        <v/>
      </c>
      <c r="N119" s="12" t="str">
        <f aca="false">IF($D119="","",_xlfn.xlookup($D119,$R:$R,$X:$X,""))</f>
        <v/>
      </c>
      <c r="O119" s="12" t="str">
        <f aca="false">IF($D119="","",_xlfn.xlookup($D119,$R:$R,$Y:$Y,""))</f>
        <v/>
      </c>
      <c r="P119" s="12" t="str">
        <f aca="false">IF($D119="","",_xlfn.xlookup($D119,$R:$R,$Z:$Z,""))</f>
        <v/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customFormat="false" ht="15" hidden="false" customHeight="false" outlineLevel="0" collapsed="false">
      <c r="B120" s="12" t="s">
        <v>307</v>
      </c>
      <c r="C120" s="5" t="s">
        <v>88</v>
      </c>
      <c r="D120" s="13" t="s">
        <v>47</v>
      </c>
      <c r="E120" s="14" t="n">
        <v>1</v>
      </c>
      <c r="F120" s="15" t="n">
        <v>0.765</v>
      </c>
      <c r="G120" s="16" t="n">
        <v>45960</v>
      </c>
      <c r="H120" s="12"/>
      <c r="I120" s="12" t="e">
        <f aca="false">IF($D120="","",_xlfn.xlookup($D120,$R:$R,$S:$S,""))</f>
        <v>#NAME?</v>
      </c>
      <c r="J120" s="12" t="e">
        <f aca="false">IF($D120="","",_xlfn.xlookup($D120,$R:$R,$T:$T,""))</f>
        <v>#NAME?</v>
      </c>
      <c r="K120" s="12" t="e">
        <f aca="false">IF($D120="","",_xlfn.xlookup($D120,$R:$R,$U:$U,""))</f>
        <v>#NAME?</v>
      </c>
      <c r="L120" s="12" t="e">
        <f aca="false">IF($D120="","",_xlfn.xlookup($D120,$R:$R,$V:$V,""))</f>
        <v>#NAME?</v>
      </c>
      <c r="M120" s="12" t="e">
        <f aca="false">IF($D120="","",_xlfn.xlookup($D120,$R:$R,$W:$W,""))</f>
        <v>#NAME?</v>
      </c>
      <c r="N120" s="12" t="e">
        <f aca="false">IF($D120="","",_xlfn.xlookup($D120,$R:$R,$X:$X,""))</f>
        <v>#NAME?</v>
      </c>
      <c r="O120" s="12" t="e">
        <f aca="false">IF($D120="","",_xlfn.xlookup($D120,$R:$R,$Y:$Y,""))</f>
        <v>#NAME?</v>
      </c>
      <c r="P120" s="12" t="e">
        <f aca="false">IF($D120="","",_xlfn.xlookup($D120,$R:$R,$Z:$Z,""))</f>
        <v>#NAME?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customFormat="false" ht="15.75" hidden="false" customHeight="false" outlineLevel="0" collapsed="false">
      <c r="B121" s="12" t="s">
        <v>308</v>
      </c>
      <c r="C121" s="5" t="s">
        <v>309</v>
      </c>
      <c r="D121" s="27"/>
      <c r="E121" s="28"/>
      <c r="F121" s="29"/>
      <c r="G121" s="30"/>
      <c r="H121" s="12"/>
      <c r="I121" s="12" t="str">
        <f aca="false">IF($D121="","",_xlfn.xlookup($D121,$R:$R,$S:$S,""))</f>
        <v/>
      </c>
      <c r="J121" s="12" t="str">
        <f aca="false">IF($D121="","",_xlfn.xlookup($D121,$R:$R,$T:$T,""))</f>
        <v/>
      </c>
      <c r="K121" s="12" t="str">
        <f aca="false">IF($D121="","",_xlfn.xlookup($D121,$R:$R,$U:$U,""))</f>
        <v/>
      </c>
      <c r="L121" s="12" t="str">
        <f aca="false">IF($D121="","",_xlfn.xlookup($D121,$R:$R,$V:$V,""))</f>
        <v/>
      </c>
      <c r="M121" s="12" t="str">
        <f aca="false">IF($D121="","",_xlfn.xlookup($D121,$R:$R,$W:$W,""))</f>
        <v/>
      </c>
      <c r="N121" s="12" t="str">
        <f aca="false">IF($D121="","",_xlfn.xlookup($D121,$R:$R,$X:$X,""))</f>
        <v/>
      </c>
      <c r="O121" s="12" t="str">
        <f aca="false">IF($D121="","",_xlfn.xlookup($D121,$R:$R,$Y:$Y,""))</f>
        <v/>
      </c>
      <c r="P121" s="12" t="str">
        <f aca="false">IF($D121="","",_xlfn.xlookup($D121,$R:$R,$Z:$Z,""))</f>
        <v/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B39" activeCellId="1" sqref="J8:K9 B39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31" t="s">
        <v>310</v>
      </c>
      <c r="B1" s="31" t="s">
        <v>311</v>
      </c>
      <c r="C1" s="31" t="s">
        <v>312</v>
      </c>
      <c r="D1" s="31" t="s">
        <v>313</v>
      </c>
      <c r="E1" s="31" t="s">
        <v>312</v>
      </c>
      <c r="F1" s="31" t="s">
        <v>314</v>
      </c>
      <c r="G1" s="31" t="s">
        <v>312</v>
      </c>
    </row>
    <row r="2" customFormat="false" ht="15" hidden="false" customHeight="false" outlineLevel="0" collapsed="false">
      <c r="A2" s="32" t="n">
        <v>2603</v>
      </c>
      <c r="B2" s="33" t="n">
        <v>1010</v>
      </c>
      <c r="C2" s="33" t="n">
        <v>48.4</v>
      </c>
      <c r="D2" s="33" t="n">
        <v>47.9</v>
      </c>
      <c r="E2" s="33" t="n">
        <v>4.301</v>
      </c>
      <c r="F2" s="33" t="n">
        <v>55</v>
      </c>
      <c r="G2" s="33" t="n">
        <v>2.376</v>
      </c>
    </row>
    <row r="3" customFormat="false" ht="15" hidden="false" customHeight="false" outlineLevel="0" collapsed="false">
      <c r="A3" s="32" t="n">
        <v>2604</v>
      </c>
      <c r="B3" s="33" t="n">
        <v>1060</v>
      </c>
      <c r="C3" s="33" t="n">
        <v>50.556</v>
      </c>
      <c r="D3" s="33" t="n">
        <v>46.1</v>
      </c>
      <c r="E3" s="33" t="n">
        <v>4.683</v>
      </c>
      <c r="F3" s="33" t="n">
        <v>59.3</v>
      </c>
      <c r="G3" s="33" t="n">
        <v>2.598</v>
      </c>
    </row>
    <row r="4" customFormat="false" ht="15" hidden="false" customHeight="false" outlineLevel="0" collapsed="false">
      <c r="A4" s="32" t="n">
        <v>2605</v>
      </c>
      <c r="B4" s="33" t="n">
        <v>527</v>
      </c>
      <c r="C4" s="33" t="n">
        <v>26.388</v>
      </c>
      <c r="D4" s="33" t="n">
        <v>12.2</v>
      </c>
      <c r="E4" s="33" t="n">
        <v>2.272</v>
      </c>
      <c r="F4" s="33" t="n">
        <v>11.2</v>
      </c>
      <c r="G4" s="33" t="n">
        <v>0.631</v>
      </c>
    </row>
    <row r="5" customFormat="false" ht="15" hidden="false" customHeight="false" outlineLevel="0" collapsed="false">
      <c r="A5" s="32" t="n">
        <v>2763</v>
      </c>
      <c r="B5" s="33" t="n">
        <v>668</v>
      </c>
      <c r="C5" s="33" t="n">
        <v>32.946</v>
      </c>
      <c r="D5" s="33" t="n">
        <v>10.5</v>
      </c>
      <c r="E5" s="33" t="n">
        <v>2.183</v>
      </c>
      <c r="F5" s="33" t="n">
        <v>17.7</v>
      </c>
      <c r="G5" s="33" t="n">
        <v>0.911</v>
      </c>
    </row>
    <row r="6" customFormat="false" ht="15" hidden="false" customHeight="false" outlineLevel="0" collapsed="false">
      <c r="A6" s="32" t="n">
        <v>2764</v>
      </c>
      <c r="B6" s="33" t="n">
        <v>706</v>
      </c>
      <c r="C6" s="33" t="n">
        <v>33.65</v>
      </c>
      <c r="D6" s="33" t="n">
        <v>48.7</v>
      </c>
      <c r="E6" s="33" t="n">
        <v>3.947</v>
      </c>
      <c r="F6" s="33" t="n">
        <v>46.7</v>
      </c>
      <c r="G6" s="33" t="n">
        <v>1.916</v>
      </c>
    </row>
    <row r="7" customFormat="false" ht="15" hidden="false" customHeight="false" outlineLevel="0" collapsed="false">
      <c r="A7" s="32" t="n">
        <v>2765</v>
      </c>
      <c r="B7" s="33" t="n">
        <v>220</v>
      </c>
      <c r="C7" s="33" t="n">
        <v>12.237</v>
      </c>
      <c r="D7" s="33" t="s">
        <v>315</v>
      </c>
      <c r="E7" s="33"/>
      <c r="F7" s="33" t="n">
        <v>8.61</v>
      </c>
      <c r="G7" s="33" t="n">
        <v>0.521</v>
      </c>
    </row>
    <row r="8" customFormat="false" ht="15" hidden="false" customHeight="false" outlineLevel="0" collapsed="false">
      <c r="A8" s="32" t="n">
        <v>2767</v>
      </c>
      <c r="B8" s="33" t="n">
        <v>324</v>
      </c>
      <c r="C8" s="33" t="n">
        <v>16.218</v>
      </c>
      <c r="D8" s="33" t="n">
        <v>9.53</v>
      </c>
      <c r="E8" s="33" t="n">
        <v>2.002</v>
      </c>
      <c r="F8" s="33" t="n">
        <v>13.5</v>
      </c>
      <c r="G8" s="33" t="n">
        <v>0.646</v>
      </c>
    </row>
    <row r="9" customFormat="false" ht="15" hidden="false" customHeight="false" outlineLevel="0" collapsed="false">
      <c r="A9" s="32" t="n">
        <v>2901</v>
      </c>
      <c r="B9" s="33" t="n">
        <v>324</v>
      </c>
      <c r="C9" s="33" t="n">
        <v>19.029</v>
      </c>
      <c r="D9" s="33" t="s">
        <v>316</v>
      </c>
      <c r="E9" s="33"/>
      <c r="F9" s="33" t="n">
        <v>13.4</v>
      </c>
      <c r="G9" s="33" t="n">
        <v>0.743</v>
      </c>
    </row>
    <row r="10" customFormat="false" ht="15" hidden="false" customHeight="false" outlineLevel="0" collapsed="false">
      <c r="A10" s="32" t="n">
        <v>3187</v>
      </c>
      <c r="B10" s="33" t="n">
        <v>1480</v>
      </c>
      <c r="C10" s="33" t="n">
        <v>77.12</v>
      </c>
      <c r="D10" s="33" t="n">
        <v>105</v>
      </c>
      <c r="E10" s="33" t="n">
        <v>7.903</v>
      </c>
      <c r="F10" s="33" t="n">
        <v>207</v>
      </c>
      <c r="G10" s="33" t="n">
        <v>8.802</v>
      </c>
    </row>
    <row r="11" customFormat="false" ht="15" hidden="false" customHeight="false" outlineLevel="0" collapsed="false">
      <c r="A11" s="32" t="n">
        <v>3188</v>
      </c>
      <c r="B11" s="33" t="n">
        <v>574</v>
      </c>
      <c r="C11" s="33" t="n">
        <v>28.481</v>
      </c>
      <c r="D11" s="33" t="n">
        <v>29.3</v>
      </c>
      <c r="E11" s="33" t="n">
        <v>3.42</v>
      </c>
      <c r="F11" s="33" t="n">
        <v>24.4</v>
      </c>
      <c r="G11" s="33" t="n">
        <v>1.171</v>
      </c>
    </row>
    <row r="12" customFormat="false" ht="15" hidden="false" customHeight="false" outlineLevel="0" collapsed="false">
      <c r="A12" s="32" t="n">
        <v>3345</v>
      </c>
      <c r="B12" s="33" t="n">
        <v>1190</v>
      </c>
      <c r="C12" s="33" t="n">
        <v>56.589</v>
      </c>
      <c r="D12" s="33" t="n">
        <v>116</v>
      </c>
      <c r="E12" s="33" t="n">
        <v>8.356</v>
      </c>
      <c r="F12" s="33" t="n">
        <v>123</v>
      </c>
      <c r="G12" s="33" t="n">
        <v>5.042</v>
      </c>
    </row>
    <row r="13" customFormat="false" ht="15" hidden="false" customHeight="false" outlineLevel="0" collapsed="false">
      <c r="A13" s="32" t="n">
        <v>3512</v>
      </c>
      <c r="B13" s="33" t="n">
        <v>285</v>
      </c>
      <c r="C13" s="33" t="n">
        <v>15.479</v>
      </c>
      <c r="D13" s="33" t="n">
        <v>19.1</v>
      </c>
      <c r="E13" s="33" t="n">
        <v>2.491</v>
      </c>
      <c r="F13" s="33" t="n">
        <v>12.1</v>
      </c>
      <c r="G13" s="33" t="n">
        <v>0.659</v>
      </c>
    </row>
    <row r="14" customFormat="false" ht="15" hidden="false" customHeight="false" outlineLevel="0" collapsed="false">
      <c r="A14" s="32" t="n">
        <v>3511</v>
      </c>
      <c r="B14" s="33" t="n">
        <v>460</v>
      </c>
      <c r="C14" s="33" t="n">
        <v>23.427</v>
      </c>
      <c r="D14" s="33" t="n">
        <v>42.4</v>
      </c>
      <c r="E14" s="33" t="n">
        <v>3.949</v>
      </c>
      <c r="F14" s="33" t="n">
        <v>27.4</v>
      </c>
      <c r="G14" s="33" t="n">
        <v>1.292</v>
      </c>
    </row>
    <row r="15" customFormat="false" ht="15" hidden="false" customHeight="false" outlineLevel="0" collapsed="false">
      <c r="A15" s="32" t="n">
        <v>3513</v>
      </c>
      <c r="B15" s="33" t="n">
        <v>225</v>
      </c>
      <c r="C15" s="33" t="n">
        <v>12.649</v>
      </c>
      <c r="D15" s="33" t="n">
        <v>8.44</v>
      </c>
      <c r="E15" s="33" t="n">
        <v>1.74</v>
      </c>
      <c r="F15" s="33" t="n">
        <v>8.17</v>
      </c>
      <c r="G15" s="33" t="n">
        <v>0.45</v>
      </c>
    </row>
    <row r="16" customFormat="false" ht="15" hidden="false" customHeight="false" outlineLevel="0" collapsed="false">
      <c r="A16" s="32" t="n">
        <v>3514</v>
      </c>
      <c r="B16" s="33" t="n">
        <v>403</v>
      </c>
      <c r="C16" s="33" t="n">
        <v>20.778</v>
      </c>
      <c r="D16" s="33" t="n">
        <v>15.6</v>
      </c>
      <c r="E16" s="33" t="n">
        <v>2.37</v>
      </c>
      <c r="F16" s="33" t="n">
        <v>11.1</v>
      </c>
      <c r="G16" s="33" t="n">
        <v>0.624</v>
      </c>
    </row>
    <row r="17" customFormat="false" ht="15" hidden="false" customHeight="false" outlineLevel="0" collapsed="false">
      <c r="A17" s="32" t="n">
        <v>3549</v>
      </c>
      <c r="B17" s="33" t="n">
        <v>1390</v>
      </c>
      <c r="C17" s="33" t="n">
        <v>64.73</v>
      </c>
      <c r="D17" s="33" t="n">
        <v>152</v>
      </c>
      <c r="E17" s="33" t="n">
        <v>9.21</v>
      </c>
      <c r="F17" s="33" t="n">
        <v>218</v>
      </c>
      <c r="G17" s="33" t="n">
        <v>8.231</v>
      </c>
    </row>
    <row r="18" customFormat="false" ht="15" hidden="false" customHeight="false" outlineLevel="0" collapsed="false">
      <c r="A18" s="32" t="n">
        <v>3606</v>
      </c>
      <c r="B18" s="33" t="n">
        <v>114</v>
      </c>
      <c r="C18" s="33" t="n">
        <v>7.283</v>
      </c>
      <c r="D18" s="33" t="s">
        <v>317</v>
      </c>
      <c r="E18" s="33"/>
      <c r="F18" s="33" t="n">
        <v>0.866</v>
      </c>
      <c r="G18" s="33" t="n">
        <v>0.209</v>
      </c>
    </row>
    <row r="19" customFormat="false" ht="15" hidden="false" customHeight="false" outlineLevel="0" collapsed="false">
      <c r="A19" s="32" t="n">
        <v>3607</v>
      </c>
      <c r="B19" s="33" t="n">
        <v>597</v>
      </c>
      <c r="C19" s="33" t="n">
        <v>29.443</v>
      </c>
      <c r="D19" s="33" t="n">
        <v>19</v>
      </c>
      <c r="E19" s="33" t="n">
        <v>2.635</v>
      </c>
      <c r="F19" s="33" t="n">
        <v>14.6</v>
      </c>
      <c r="G19" s="33" t="n">
        <v>0.755</v>
      </c>
    </row>
    <row r="20" customFormat="false" ht="15" hidden="false" customHeight="false" outlineLevel="0" collapsed="false">
      <c r="A20" s="32" t="n">
        <v>3608</v>
      </c>
      <c r="B20" s="33" t="n">
        <v>334</v>
      </c>
      <c r="C20" s="33" t="n">
        <v>17.427</v>
      </c>
      <c r="D20" s="33" t="n">
        <v>13.4</v>
      </c>
      <c r="E20" s="33" t="n">
        <v>2.351</v>
      </c>
      <c r="F20" s="33" t="n">
        <v>18.3</v>
      </c>
      <c r="G20" s="33" t="n">
        <v>0.897</v>
      </c>
    </row>
    <row r="21" customFormat="false" ht="15" hidden="false" customHeight="false" outlineLevel="0" collapsed="false">
      <c r="A21" s="32" t="n">
        <v>59</v>
      </c>
      <c r="B21" s="33" t="n">
        <v>529</v>
      </c>
      <c r="C21" s="33" t="n">
        <v>29.551</v>
      </c>
      <c r="D21" s="33" t="n">
        <v>15.4</v>
      </c>
      <c r="E21" s="33" t="n">
        <v>2.86</v>
      </c>
      <c r="F21" s="33" t="n">
        <v>18.7</v>
      </c>
      <c r="G21" s="33" t="n">
        <v>1.063</v>
      </c>
    </row>
    <row r="22" customFormat="false" ht="15" hidden="false" customHeight="false" outlineLevel="0" collapsed="false">
      <c r="A22" s="32" t="n">
        <v>60</v>
      </c>
      <c r="B22" s="33" t="n">
        <v>268</v>
      </c>
      <c r="C22" s="33" t="n">
        <v>13.982</v>
      </c>
      <c r="D22" s="33" t="n">
        <v>25.5</v>
      </c>
      <c r="E22" s="33" t="n">
        <v>2.321</v>
      </c>
      <c r="F22" s="33" t="n">
        <v>15</v>
      </c>
      <c r="G22" s="33" t="n">
        <v>0.738</v>
      </c>
    </row>
    <row r="23" customFormat="false" ht="15" hidden="false" customHeight="false" outlineLevel="0" collapsed="false">
      <c r="A23" s="32" t="n">
        <v>145</v>
      </c>
      <c r="B23" s="33" t="n">
        <v>944</v>
      </c>
      <c r="C23" s="33" t="n">
        <v>47.748</v>
      </c>
      <c r="D23" s="33" t="s">
        <v>318</v>
      </c>
      <c r="E23" s="33"/>
      <c r="F23" s="33" t="n">
        <v>98.8</v>
      </c>
      <c r="G23" s="33" t="n">
        <v>4.228</v>
      </c>
    </row>
    <row r="24" customFormat="false" ht="15" hidden="false" customHeight="false" outlineLevel="0" collapsed="false">
      <c r="A24" s="32" t="n">
        <v>146</v>
      </c>
      <c r="B24" s="33" t="n">
        <v>832</v>
      </c>
      <c r="C24" s="33" t="n">
        <v>42.132</v>
      </c>
      <c r="D24" s="33" t="n">
        <v>26.9</v>
      </c>
      <c r="E24" s="33" t="n">
        <v>3.153</v>
      </c>
      <c r="F24" s="33" t="n">
        <v>126</v>
      </c>
      <c r="G24" s="33" t="n">
        <v>5.184</v>
      </c>
    </row>
    <row r="25" customFormat="false" ht="15" hidden="false" customHeight="false" outlineLevel="0" collapsed="false">
      <c r="A25" s="32" t="n">
        <v>230</v>
      </c>
      <c r="B25" s="33" t="n">
        <v>284</v>
      </c>
      <c r="C25" s="33" t="n">
        <v>15.353</v>
      </c>
      <c r="D25" s="33" t="n">
        <v>53.2</v>
      </c>
      <c r="E25" s="33" t="n">
        <v>4.593</v>
      </c>
      <c r="F25" s="33" t="n">
        <v>55.6</v>
      </c>
      <c r="G25" s="33" t="n">
        <v>2.496</v>
      </c>
    </row>
    <row r="26" customFormat="false" ht="15" hidden="false" customHeight="false" outlineLevel="0" collapsed="false">
      <c r="A26" s="32" t="n">
        <v>235</v>
      </c>
      <c r="B26" s="33" t="n">
        <v>261</v>
      </c>
      <c r="C26" s="33" t="n">
        <v>14.113</v>
      </c>
      <c r="D26" s="33" t="n">
        <v>86.8</v>
      </c>
      <c r="E26" s="33" t="n">
        <v>5.969</v>
      </c>
      <c r="F26" s="33" t="n">
        <v>78.2</v>
      </c>
      <c r="G26" s="33" t="n">
        <v>3.406</v>
      </c>
    </row>
    <row r="27" customFormat="false" ht="15" hidden="false" customHeight="false" outlineLevel="0" collapsed="false">
      <c r="A27" s="32" t="n">
        <v>241</v>
      </c>
      <c r="B27" s="33" t="n">
        <v>2540</v>
      </c>
      <c r="C27" s="33" t="n">
        <v>129.768</v>
      </c>
      <c r="D27" s="33" t="s">
        <v>319</v>
      </c>
      <c r="E27" s="33"/>
      <c r="F27" s="33" t="n">
        <v>7.61</v>
      </c>
      <c r="G27" s="33" t="n">
        <v>0.492</v>
      </c>
    </row>
    <row r="28" customFormat="false" ht="15" hidden="false" customHeight="false" outlineLevel="0" collapsed="false">
      <c r="A28" s="32" t="n">
        <v>563</v>
      </c>
      <c r="B28" s="33" t="n">
        <v>367</v>
      </c>
      <c r="C28" s="33" t="n">
        <v>22</v>
      </c>
      <c r="D28" s="33" t="n">
        <v>28.8</v>
      </c>
      <c r="E28" s="33" t="n">
        <v>2.26</v>
      </c>
      <c r="F28" s="33" t="n">
        <v>21.2</v>
      </c>
      <c r="G28" s="33" t="n">
        <v>1.27</v>
      </c>
    </row>
    <row r="29" customFormat="false" ht="15" hidden="false" customHeight="false" outlineLevel="0" collapsed="false">
      <c r="A29" s="32" t="n">
        <v>628</v>
      </c>
      <c r="B29" s="33" t="n">
        <v>489</v>
      </c>
      <c r="C29" s="33" t="n">
        <v>25.082</v>
      </c>
      <c r="D29" s="33" t="n">
        <v>29.9</v>
      </c>
      <c r="E29" s="33" t="n">
        <v>2.925</v>
      </c>
      <c r="F29" s="33" t="n">
        <v>32.1</v>
      </c>
      <c r="G29" s="33" t="n">
        <v>1.444</v>
      </c>
    </row>
    <row r="30" customFormat="false" ht="15" hidden="false" customHeight="false" outlineLevel="0" collapsed="false">
      <c r="A30" s="32" t="n">
        <v>629</v>
      </c>
      <c r="B30" s="33" t="n">
        <v>588</v>
      </c>
      <c r="C30" s="33" t="n">
        <v>33.102</v>
      </c>
      <c r="D30" s="33" t="n">
        <v>52.3</v>
      </c>
      <c r="E30" s="33" t="n">
        <v>5.568</v>
      </c>
      <c r="F30" s="33" t="n">
        <v>48</v>
      </c>
      <c r="G30" s="33" t="n">
        <v>2.363</v>
      </c>
    </row>
    <row r="31" customFormat="false" ht="15" hidden="false" customHeight="false" outlineLevel="0" collapsed="false">
      <c r="A31" s="32" t="n">
        <v>630</v>
      </c>
      <c r="B31" s="33" t="n">
        <v>542</v>
      </c>
      <c r="C31" s="33" t="n">
        <v>27.616</v>
      </c>
      <c r="D31" s="33" t="n">
        <v>39.2</v>
      </c>
      <c r="E31" s="33" t="n">
        <v>2.79</v>
      </c>
      <c r="F31" s="33" t="n">
        <v>41.8</v>
      </c>
      <c r="G31" s="33" t="n">
        <v>1.882</v>
      </c>
    </row>
    <row r="32" customFormat="false" ht="15" hidden="false" customHeight="false" outlineLevel="0" collapsed="false">
      <c r="A32" s="32" t="n">
        <v>632</v>
      </c>
      <c r="B32" s="33" t="n">
        <v>556</v>
      </c>
      <c r="C32" s="33" t="n">
        <v>28.33</v>
      </c>
      <c r="D32" s="33" t="n">
        <v>36.5</v>
      </c>
      <c r="E32" s="33" t="n">
        <v>3.558</v>
      </c>
      <c r="F32" s="33" t="n">
        <v>38.1</v>
      </c>
      <c r="G32" s="33" t="n">
        <v>1.571</v>
      </c>
    </row>
    <row r="33" customFormat="false" ht="15" hidden="false" customHeight="false" outlineLevel="0" collapsed="false">
      <c r="A33" s="32" t="n">
        <v>631</v>
      </c>
      <c r="B33" s="33" t="n">
        <v>661</v>
      </c>
      <c r="C33" s="33" t="n">
        <v>33.779</v>
      </c>
      <c r="D33" s="33" t="n">
        <v>44.8</v>
      </c>
      <c r="E33" s="33" t="n">
        <v>4.089</v>
      </c>
      <c r="F33" s="33" t="n">
        <v>60.9</v>
      </c>
      <c r="G33" s="33" t="n">
        <v>2.704</v>
      </c>
    </row>
    <row r="34" customFormat="false" ht="15" hidden="false" customHeight="false" outlineLevel="0" collapsed="false">
      <c r="A34" s="32" t="n">
        <v>633</v>
      </c>
      <c r="B34" s="33" t="n">
        <v>329</v>
      </c>
      <c r="C34" s="33" t="n">
        <v>17.615</v>
      </c>
      <c r="D34" s="33" t="n">
        <v>39.3</v>
      </c>
      <c r="E34" s="33" t="n">
        <v>3.903</v>
      </c>
      <c r="F34" s="33" t="n">
        <v>38.2</v>
      </c>
      <c r="G34" s="33" t="n">
        <v>1.777</v>
      </c>
    </row>
    <row r="35" customFormat="false" ht="15" hidden="false" customHeight="false" outlineLevel="0" collapsed="false">
      <c r="A35" s="32" t="n">
        <v>634</v>
      </c>
      <c r="B35" s="33" t="n">
        <v>297</v>
      </c>
      <c r="C35" s="33" t="n">
        <v>19.207</v>
      </c>
      <c r="D35" s="33" t="n">
        <v>30.5</v>
      </c>
      <c r="E35" s="33" t="n">
        <v>4.255</v>
      </c>
      <c r="F35" s="33" t="n">
        <v>29.8</v>
      </c>
      <c r="G35" s="33" t="n">
        <v>1.599</v>
      </c>
    </row>
    <row r="36" customFormat="false" ht="15" hidden="false" customHeight="false" outlineLevel="0" collapsed="false">
      <c r="A36" s="32" t="n">
        <v>635</v>
      </c>
      <c r="B36" s="33" t="n">
        <v>566</v>
      </c>
      <c r="C36" s="33" t="n">
        <v>28.813</v>
      </c>
      <c r="D36" s="33" t="n">
        <v>29.8</v>
      </c>
      <c r="E36" s="33" t="n">
        <v>2.877</v>
      </c>
      <c r="F36" s="33" t="n">
        <v>37.3</v>
      </c>
      <c r="G36" s="33" t="n">
        <v>1.667</v>
      </c>
    </row>
    <row r="37" customFormat="false" ht="15" hidden="false" customHeight="false" outlineLevel="0" collapsed="false">
      <c r="A37" s="32" t="n">
        <v>638</v>
      </c>
      <c r="B37" s="33" t="n">
        <v>482</v>
      </c>
      <c r="C37" s="33" t="n">
        <v>25.292</v>
      </c>
      <c r="D37" s="33" t="n">
        <v>31.5</v>
      </c>
      <c r="E37" s="33" t="n">
        <v>3.915</v>
      </c>
      <c r="F37" s="33" t="n">
        <v>35.3</v>
      </c>
      <c r="G37" s="33" t="n">
        <v>1.688</v>
      </c>
    </row>
    <row r="38" customFormat="false" ht="15" hidden="false" customHeight="false" outlineLevel="0" collapsed="false">
      <c r="A38" s="32" t="n">
        <v>723</v>
      </c>
      <c r="B38" s="33" t="n">
        <v>307</v>
      </c>
      <c r="C38" s="33" t="n">
        <v>15.69</v>
      </c>
      <c r="D38" s="33" t="n">
        <v>14.8</v>
      </c>
      <c r="E38" s="33" t="n">
        <v>1.226</v>
      </c>
      <c r="F38" s="33" t="n">
        <v>14.8</v>
      </c>
      <c r="G38" s="33" t="n">
        <v>0.69</v>
      </c>
    </row>
    <row r="39" customFormat="false" ht="15" hidden="false" customHeight="false" outlineLevel="0" collapsed="false">
      <c r="A39" s="32" t="n">
        <v>724</v>
      </c>
      <c r="B39" s="33" t="n">
        <v>903</v>
      </c>
      <c r="C39" s="33" t="n">
        <v>45.554</v>
      </c>
      <c r="D39" s="33" t="n">
        <v>40.3</v>
      </c>
      <c r="E39" s="33" t="n">
        <v>3.427</v>
      </c>
      <c r="F39" s="33" t="n">
        <v>48.7</v>
      </c>
      <c r="G39" s="33" t="n">
        <v>2.157</v>
      </c>
    </row>
    <row r="40" customFormat="false" ht="15" hidden="false" customHeight="false" outlineLevel="0" collapsed="false">
      <c r="A40" s="32" t="n">
        <v>725</v>
      </c>
      <c r="B40" s="33" t="n">
        <v>582</v>
      </c>
      <c r="C40" s="33" t="n">
        <v>30.373</v>
      </c>
      <c r="D40" s="33" t="n">
        <v>24.9</v>
      </c>
      <c r="E40" s="33" t="n">
        <v>2.882</v>
      </c>
      <c r="F40" s="33" t="n">
        <v>29.6</v>
      </c>
      <c r="G40" s="33" t="n">
        <v>1.355</v>
      </c>
    </row>
    <row r="41" customFormat="false" ht="15" hidden="false" customHeight="false" outlineLevel="0" collapsed="false">
      <c r="A41" s="32" t="n">
        <v>744</v>
      </c>
      <c r="B41" s="33" t="n">
        <v>317</v>
      </c>
      <c r="C41" s="33" t="n">
        <v>17.082</v>
      </c>
      <c r="D41" s="33" t="n">
        <v>66.7</v>
      </c>
      <c r="E41" s="33" t="n">
        <v>5.174</v>
      </c>
      <c r="F41" s="33" t="n">
        <v>62.1</v>
      </c>
      <c r="G41" s="33" t="n">
        <v>2.727</v>
      </c>
    </row>
    <row r="42" customFormat="false" ht="15" hidden="false" customHeight="false" outlineLevel="0" collapsed="false">
      <c r="A42" s="32" t="n">
        <v>882</v>
      </c>
      <c r="B42" s="33" t="n">
        <v>133</v>
      </c>
      <c r="C42" s="33" t="n">
        <v>10.052</v>
      </c>
      <c r="D42" s="33" t="n">
        <v>85.9</v>
      </c>
      <c r="E42" s="33" t="n">
        <v>7.549</v>
      </c>
      <c r="F42" s="33" t="n">
        <v>107</v>
      </c>
      <c r="G42" s="33" t="n">
        <v>4.809</v>
      </c>
    </row>
    <row r="43" customFormat="false" ht="15" hidden="false" customHeight="false" outlineLevel="0" collapsed="false">
      <c r="A43" s="32" t="n">
        <v>883</v>
      </c>
      <c r="B43" s="33" t="n">
        <v>242</v>
      </c>
      <c r="C43" s="33" t="n">
        <v>13.258</v>
      </c>
      <c r="D43" s="33" t="n">
        <v>39.2</v>
      </c>
      <c r="E43" s="33" t="n">
        <v>3.571</v>
      </c>
      <c r="F43" s="33" t="n">
        <v>64.2</v>
      </c>
      <c r="G43" s="33" t="n">
        <v>2.82</v>
      </c>
    </row>
    <row r="44" customFormat="false" ht="15" hidden="false" customHeight="false" outlineLevel="0" collapsed="false">
      <c r="A44" s="32" t="n">
        <v>993</v>
      </c>
      <c r="B44" s="33" t="n">
        <v>245</v>
      </c>
      <c r="C44" s="33" t="n">
        <v>13.165</v>
      </c>
      <c r="D44" s="33" t="n">
        <v>48.8</v>
      </c>
      <c r="E44" s="33" t="n">
        <v>3.851</v>
      </c>
      <c r="F44" s="33" t="n">
        <v>43.5</v>
      </c>
      <c r="G44" s="33" t="n">
        <v>1.973</v>
      </c>
    </row>
    <row r="45" customFormat="false" ht="15" hidden="false" customHeight="false" outlineLevel="0" collapsed="false">
      <c r="A45" s="32" t="n">
        <v>1753</v>
      </c>
      <c r="B45" s="33" t="n">
        <v>496</v>
      </c>
      <c r="C45" s="33" t="n">
        <v>28.267</v>
      </c>
      <c r="D45" s="33" t="n">
        <v>28.3</v>
      </c>
      <c r="E45" s="33" t="n">
        <v>4.048</v>
      </c>
      <c r="F45" s="33" t="n">
        <v>26</v>
      </c>
      <c r="G45" s="33" t="n">
        <v>1.413</v>
      </c>
    </row>
    <row r="46" customFormat="false" ht="15" hidden="false" customHeight="false" outlineLevel="0" collapsed="false">
      <c r="A46" s="32" t="n">
        <v>2212</v>
      </c>
      <c r="B46" s="33" t="n">
        <v>216</v>
      </c>
      <c r="C46" s="33" t="n">
        <v>14.312</v>
      </c>
      <c r="D46" s="33" t="n">
        <v>11.4</v>
      </c>
      <c r="E46" s="33" t="n">
        <v>2.463</v>
      </c>
      <c r="F46" s="33" t="n">
        <v>11.3</v>
      </c>
      <c r="G46" s="33" t="n">
        <v>0.714</v>
      </c>
    </row>
    <row r="47" customFormat="false" ht="15" hidden="false" customHeight="false" outlineLevel="0" collapsed="false">
      <c r="A47" s="32" t="n">
        <v>2421</v>
      </c>
      <c r="B47" s="33" t="n">
        <v>465</v>
      </c>
      <c r="C47" s="33" t="n">
        <v>23.578</v>
      </c>
      <c r="D47" s="33" t="n">
        <v>34</v>
      </c>
      <c r="E47" s="33" t="n">
        <v>2.28</v>
      </c>
      <c r="F47" s="33" t="n">
        <v>24.7</v>
      </c>
      <c r="G47" s="33" t="n">
        <v>1.107</v>
      </c>
    </row>
    <row r="48" customFormat="false" ht="15" hidden="false" customHeight="false" outlineLevel="0" collapsed="false">
      <c r="A48" s="32" t="n">
        <v>2423</v>
      </c>
      <c r="B48" s="33" t="n">
        <v>514</v>
      </c>
      <c r="C48" s="33" t="n">
        <v>27.975</v>
      </c>
      <c r="D48" s="33" t="n">
        <v>36.9</v>
      </c>
      <c r="E48" s="33" t="n">
        <v>3.648</v>
      </c>
      <c r="F48" s="33" t="n">
        <v>24.6</v>
      </c>
      <c r="G48" s="33" t="n">
        <v>1.253</v>
      </c>
    </row>
    <row r="49" customFormat="false" ht="15" hidden="false" customHeight="false" outlineLevel="0" collapsed="false">
      <c r="A49" s="32" t="n">
        <v>2424</v>
      </c>
      <c r="B49" s="33" t="n">
        <v>411</v>
      </c>
      <c r="C49" s="33" t="n">
        <v>20.953</v>
      </c>
      <c r="D49" s="33" t="n">
        <v>37.2</v>
      </c>
      <c r="E49" s="33" t="n">
        <v>2.855</v>
      </c>
      <c r="F49" s="33" t="n">
        <v>23.2</v>
      </c>
      <c r="G49" s="33" t="n">
        <v>1.023</v>
      </c>
    </row>
    <row r="50" customFormat="false" ht="15" hidden="false" customHeight="false" outlineLevel="0" collapsed="false">
      <c r="A50" s="32" t="n">
        <v>2546</v>
      </c>
      <c r="B50" s="33" t="n">
        <v>401</v>
      </c>
      <c r="C50" s="33" t="n">
        <v>20.98</v>
      </c>
      <c r="D50" s="33" t="n">
        <v>19.2</v>
      </c>
      <c r="E50" s="33" t="n">
        <v>2.511</v>
      </c>
      <c r="F50" s="33" t="n">
        <v>15.9</v>
      </c>
      <c r="G50" s="33" t="n">
        <v>0.826</v>
      </c>
    </row>
    <row r="51" customFormat="false" ht="15" hidden="false" customHeight="false" outlineLevel="0" collapsed="false">
      <c r="A51" s="32" t="n">
        <v>2547</v>
      </c>
      <c r="B51" s="33" t="n">
        <v>399</v>
      </c>
      <c r="C51" s="33" t="n">
        <v>20.633</v>
      </c>
      <c r="D51" s="33" t="n">
        <v>19.7</v>
      </c>
      <c r="E51" s="33" t="n">
        <v>2.326</v>
      </c>
      <c r="F51" s="33" t="n">
        <v>19.3</v>
      </c>
      <c r="G51" s="33" t="n">
        <v>0.89</v>
      </c>
    </row>
    <row r="52" customFormat="false" ht="15" hidden="false" customHeight="false" outlineLevel="0" collapsed="false">
      <c r="A52" s="32" t="n">
        <v>2548</v>
      </c>
      <c r="B52" s="33" t="n">
        <v>409</v>
      </c>
      <c r="C52" s="33" t="n">
        <v>21.103</v>
      </c>
      <c r="D52" s="33" t="n">
        <v>26</v>
      </c>
      <c r="E52" s="33" t="n">
        <v>2.616</v>
      </c>
      <c r="F52" s="33" t="n">
        <v>24.1</v>
      </c>
      <c r="G52" s="33" t="n">
        <v>1.094</v>
      </c>
    </row>
    <row r="53" customFormat="false" ht="15" hidden="false" customHeight="false" outlineLevel="0" collapsed="false">
      <c r="A53" s="32" t="n">
        <v>2549</v>
      </c>
      <c r="B53" s="33" t="n">
        <v>435</v>
      </c>
      <c r="C53" s="33" t="n">
        <v>25.087</v>
      </c>
      <c r="D53" s="33" t="s">
        <v>320</v>
      </c>
      <c r="E53" s="33"/>
      <c r="F53" s="33" t="n">
        <v>12.4</v>
      </c>
      <c r="G53" s="33" t="n">
        <v>0.769</v>
      </c>
    </row>
    <row r="54" customFormat="false" ht="15" hidden="false" customHeight="false" outlineLevel="0" collapsed="false">
      <c r="A54" s="32" t="n">
        <v>2550</v>
      </c>
      <c r="B54" s="33" t="n">
        <v>464</v>
      </c>
      <c r="C54" s="33" t="n">
        <v>23.876</v>
      </c>
      <c r="D54" s="33" t="n">
        <v>10.4</v>
      </c>
      <c r="E54" s="33" t="n">
        <v>1.547</v>
      </c>
      <c r="F54" s="33" t="n">
        <v>13</v>
      </c>
      <c r="G54" s="33" t="n">
        <v>0.669</v>
      </c>
    </row>
    <row r="55" customFormat="false" ht="15" hidden="false" customHeight="false" outlineLevel="0" collapsed="false">
      <c r="A55" s="32" t="n">
        <v>2552</v>
      </c>
      <c r="B55" s="33" t="n">
        <v>423</v>
      </c>
      <c r="C55" s="33" t="n">
        <v>24.775</v>
      </c>
      <c r="D55" s="33" t="n">
        <v>26</v>
      </c>
      <c r="E55" s="33" t="n">
        <v>3.806</v>
      </c>
      <c r="F55" s="33" t="n">
        <v>26.9</v>
      </c>
      <c r="G55" s="33" t="n">
        <v>1.452</v>
      </c>
    </row>
    <row r="56" customFormat="false" ht="15" hidden="false" customHeight="false" outlineLevel="0" collapsed="false">
      <c r="A56" s="32" t="n">
        <v>2937</v>
      </c>
      <c r="B56" s="33" t="n">
        <v>1350</v>
      </c>
      <c r="C56" s="33" t="n">
        <v>67.418</v>
      </c>
      <c r="D56" s="33" t="n">
        <v>113</v>
      </c>
      <c r="E56" s="33" t="n">
        <v>7.685</v>
      </c>
      <c r="F56" s="33" t="n">
        <v>105</v>
      </c>
      <c r="G56" s="33" t="n">
        <v>4.499</v>
      </c>
    </row>
    <row r="57" customFormat="false" ht="15" hidden="false" customHeight="false" outlineLevel="0" collapsed="false">
      <c r="A57" s="32" t="n">
        <v>3009</v>
      </c>
      <c r="B57" s="33" t="n">
        <v>264</v>
      </c>
      <c r="C57" s="33" t="n">
        <v>16.63</v>
      </c>
      <c r="D57" s="33" t="s">
        <v>321</v>
      </c>
      <c r="E57" s="33"/>
      <c r="F57" s="33" t="n">
        <v>9.53</v>
      </c>
      <c r="G57" s="33" t="n">
        <v>0.626</v>
      </c>
    </row>
    <row r="58" customFormat="false" ht="15" hidden="false" customHeight="false" outlineLevel="0" collapsed="false">
      <c r="A58" s="32" t="n">
        <v>3490</v>
      </c>
      <c r="B58" s="33" t="n">
        <v>209</v>
      </c>
      <c r="C58" s="33" t="n">
        <v>13.74</v>
      </c>
      <c r="D58" s="33" t="n">
        <v>97.6</v>
      </c>
      <c r="E58" s="33" t="n">
        <v>7.109</v>
      </c>
      <c r="F58" s="33" t="n">
        <v>66.5</v>
      </c>
      <c r="G58" s="33" t="n">
        <v>2.896</v>
      </c>
    </row>
    <row r="59" customFormat="false" ht="15" hidden="false" customHeight="false" outlineLevel="0" collapsed="false">
      <c r="A59" s="32" t="n">
        <v>3491</v>
      </c>
      <c r="B59" s="33" t="n">
        <v>230</v>
      </c>
      <c r="C59" s="33" t="n">
        <v>16.759</v>
      </c>
      <c r="D59" s="33" t="n">
        <v>63.4</v>
      </c>
      <c r="E59" s="33" t="n">
        <v>6.553</v>
      </c>
      <c r="F59" s="33" t="n">
        <v>49.7</v>
      </c>
      <c r="G59" s="33" t="n">
        <v>2.536</v>
      </c>
    </row>
    <row r="60" customFormat="false" ht="15" hidden="false" customHeight="false" outlineLevel="0" collapsed="false">
      <c r="A60" s="32" t="n">
        <v>3838</v>
      </c>
      <c r="B60" s="33" t="n">
        <v>579</v>
      </c>
      <c r="C60" s="33" t="n">
        <v>29.688</v>
      </c>
      <c r="D60" s="33" t="n">
        <v>33.7</v>
      </c>
      <c r="E60" s="33" t="n">
        <v>3.585</v>
      </c>
      <c r="F60" s="33" t="n">
        <v>35.3</v>
      </c>
      <c r="G60" s="33" t="n">
        <v>1.642</v>
      </c>
    </row>
    <row r="61" customFormat="false" ht="15" hidden="false" customHeight="false" outlineLevel="0" collapsed="false">
      <c r="A61" s="32" t="n">
        <v>3874</v>
      </c>
      <c r="B61" s="33" t="n">
        <v>149</v>
      </c>
      <c r="C61" s="33" t="n">
        <v>8.94</v>
      </c>
      <c r="D61" s="33" t="n">
        <v>55.8</v>
      </c>
      <c r="E61" s="33" t="n">
        <v>3.35</v>
      </c>
      <c r="F61" s="33" t="n">
        <v>63.3</v>
      </c>
      <c r="G61" s="33" t="n">
        <v>3.8</v>
      </c>
    </row>
    <row r="62" customFormat="false" ht="15" hidden="false" customHeight="false" outlineLevel="0" collapsed="false">
      <c r="A62" s="32" t="n">
        <v>3876</v>
      </c>
      <c r="B62" s="33" t="n">
        <v>135</v>
      </c>
      <c r="C62" s="33" t="n">
        <v>8.1</v>
      </c>
      <c r="D62" s="33" t="n">
        <v>51.1</v>
      </c>
      <c r="E62" s="33" t="n">
        <v>3.07</v>
      </c>
      <c r="F62" s="33" t="n">
        <v>52.1</v>
      </c>
      <c r="G62" s="33" t="n">
        <v>3.13</v>
      </c>
    </row>
    <row r="63" customFormat="false" ht="15" hidden="false" customHeight="false" outlineLevel="0" collapsed="false">
      <c r="A63" s="32" t="n">
        <v>3954</v>
      </c>
      <c r="B63" s="33" t="n">
        <v>359</v>
      </c>
      <c r="C63" s="33" t="n">
        <v>19.67</v>
      </c>
      <c r="D63" s="33" t="n">
        <v>83</v>
      </c>
      <c r="E63" s="33" t="n">
        <v>6.4</v>
      </c>
      <c r="F63" s="33" t="n">
        <v>68.4</v>
      </c>
      <c r="G63" s="33" t="n">
        <v>3.068</v>
      </c>
    </row>
    <row r="64" customFormat="false" ht="15" hidden="false" customHeight="false" outlineLevel="0" collapsed="false">
      <c r="A64" s="32" t="n">
        <v>4017</v>
      </c>
      <c r="B64" s="33" t="n">
        <v>346</v>
      </c>
      <c r="C64" s="33" t="n">
        <v>18.288</v>
      </c>
      <c r="D64" s="33" t="n">
        <v>17.5</v>
      </c>
      <c r="E64" s="33" t="n">
        <v>2.418</v>
      </c>
      <c r="F64" s="33" t="n">
        <v>17.9</v>
      </c>
      <c r="G64" s="33" t="n">
        <v>0.905</v>
      </c>
    </row>
    <row r="65" customFormat="false" ht="15" hidden="false" customHeight="false" outlineLevel="0" collapsed="false">
      <c r="A65" s="32" t="n">
        <v>4180</v>
      </c>
      <c r="B65" s="33" t="n">
        <v>363</v>
      </c>
      <c r="C65" s="33" t="n">
        <v>21.78</v>
      </c>
      <c r="D65" s="33" t="n">
        <v>111</v>
      </c>
      <c r="E65" s="33" t="n">
        <v>6.67</v>
      </c>
      <c r="F65" s="33" t="n">
        <v>98.8</v>
      </c>
      <c r="G65" s="33" t="n">
        <v>5.93</v>
      </c>
    </row>
    <row r="66" customFormat="false" ht="15" hidden="false" customHeight="false" outlineLevel="0" collapsed="false">
      <c r="A66" s="32" t="n">
        <v>4183</v>
      </c>
      <c r="B66" s="33" t="n">
        <v>361</v>
      </c>
      <c r="C66" s="33" t="n">
        <v>21.63</v>
      </c>
      <c r="D66" s="33" t="n">
        <v>107</v>
      </c>
      <c r="E66" s="33" t="n">
        <v>6.42</v>
      </c>
      <c r="F66" s="33" t="n">
        <v>96.4</v>
      </c>
      <c r="G66" s="33" t="n">
        <v>5.78</v>
      </c>
    </row>
    <row r="67" customFormat="false" ht="15" hidden="false" customHeight="false" outlineLevel="0" collapsed="false">
      <c r="A67" s="32" t="n">
        <v>4271</v>
      </c>
      <c r="B67" s="33" t="n">
        <v>189</v>
      </c>
      <c r="C67" s="33" t="n">
        <v>11.36</v>
      </c>
      <c r="D67" s="33" t="n">
        <v>106</v>
      </c>
      <c r="E67" s="33" t="n">
        <v>6.38</v>
      </c>
      <c r="F67" s="33" t="n">
        <v>90.6</v>
      </c>
      <c r="G67" s="33" t="n">
        <v>5.44</v>
      </c>
    </row>
    <row r="68" customFormat="false" ht="15" hidden="false" customHeight="false" outlineLevel="0" collapsed="false">
      <c r="A68" s="32" t="n">
        <v>4301</v>
      </c>
      <c r="B68" s="33" t="n">
        <v>456</v>
      </c>
      <c r="C68" s="33" t="n">
        <v>28.142</v>
      </c>
      <c r="D68" s="33" t="n">
        <v>141</v>
      </c>
      <c r="E68" s="33" t="n">
        <v>10.968</v>
      </c>
      <c r="F68" s="33" t="n">
        <v>92.2</v>
      </c>
      <c r="G68" s="33" t="n">
        <v>4.429</v>
      </c>
    </row>
    <row r="69" customFormat="false" ht="15" hidden="false" customHeight="false" outlineLevel="0" collapsed="false">
      <c r="A69" s="32" t="n">
        <v>4723</v>
      </c>
      <c r="B69" s="33" t="n">
        <v>602</v>
      </c>
      <c r="C69" s="33" t="n">
        <v>30.865</v>
      </c>
      <c r="D69" s="33" t="n">
        <v>50.7</v>
      </c>
      <c r="E69" s="33" t="n">
        <v>4.699</v>
      </c>
      <c r="F69" s="33" t="n">
        <v>52</v>
      </c>
      <c r="G69" s="33" t="n">
        <v>2.34</v>
      </c>
    </row>
    <row r="70" customFormat="false" ht="15" hidden="false" customHeight="false" outlineLevel="0" collapsed="false">
      <c r="A70" s="32" t="n">
        <v>3666</v>
      </c>
      <c r="B70" s="33" t="n">
        <v>143</v>
      </c>
      <c r="C70" s="33" t="n">
        <v>8.58</v>
      </c>
      <c r="D70" s="33" t="n">
        <v>51.7</v>
      </c>
      <c r="E70" s="33" t="n">
        <v>3.1</v>
      </c>
      <c r="F70" s="33" t="n">
        <v>59.7</v>
      </c>
      <c r="G70" s="33" t="n">
        <v>3.58</v>
      </c>
    </row>
    <row r="71" customFormat="false" ht="15" hidden="false" customHeight="false" outlineLevel="0" collapsed="false">
      <c r="A71" s="32" t="n">
        <v>3667</v>
      </c>
      <c r="B71" s="33" t="n">
        <v>170</v>
      </c>
      <c r="C71" s="33" t="n">
        <v>10.17</v>
      </c>
      <c r="D71" s="33" t="n">
        <v>64.3</v>
      </c>
      <c r="E71" s="33" t="n">
        <v>3.86</v>
      </c>
      <c r="F71" s="33" t="n">
        <v>70.7</v>
      </c>
      <c r="G71" s="33" t="n">
        <v>4.24</v>
      </c>
    </row>
    <row r="72" customFormat="false" ht="15" hidden="false" customHeight="false" outlineLevel="0" collapsed="false">
      <c r="A72" s="32" t="n">
        <v>3668</v>
      </c>
      <c r="B72" s="33" t="n">
        <v>175</v>
      </c>
      <c r="C72" s="33" t="n">
        <v>10.51</v>
      </c>
      <c r="D72" s="33" t="n">
        <v>58.4</v>
      </c>
      <c r="E72" s="33" t="n">
        <v>3.5</v>
      </c>
      <c r="F72" s="33" t="n">
        <v>58.2</v>
      </c>
      <c r="G72" s="33" t="n">
        <v>3.49</v>
      </c>
    </row>
    <row r="73" customFormat="false" ht="15" hidden="false" customHeight="false" outlineLevel="0" collapsed="false">
      <c r="A73" s="32" t="n">
        <v>3962</v>
      </c>
      <c r="B73" s="33" t="n">
        <v>227</v>
      </c>
      <c r="C73" s="33" t="n">
        <v>13.63</v>
      </c>
      <c r="D73" s="33" t="n">
        <v>57.8</v>
      </c>
      <c r="E73" s="33" t="n">
        <v>3.47</v>
      </c>
      <c r="F73" s="33" t="n">
        <v>59.3</v>
      </c>
      <c r="G73" s="33" t="n">
        <v>3.56</v>
      </c>
    </row>
    <row r="74" customFormat="false" ht="15" hidden="false" customHeight="false" outlineLevel="0" collapsed="false">
      <c r="A74" s="32" t="n">
        <v>3964</v>
      </c>
      <c r="B74" s="33" t="n">
        <v>322</v>
      </c>
      <c r="C74" s="33" t="n">
        <v>19.32</v>
      </c>
      <c r="D74" s="33" t="n">
        <v>96.2</v>
      </c>
      <c r="E74" s="33" t="n">
        <v>5.77</v>
      </c>
      <c r="F74" s="33" t="n">
        <v>86.9</v>
      </c>
      <c r="G74" s="33" t="n">
        <v>5.22</v>
      </c>
    </row>
    <row r="75" customFormat="false" ht="15" hidden="false" customHeight="false" outlineLevel="0" collapsed="false">
      <c r="A75" s="32" t="n">
        <v>4249</v>
      </c>
      <c r="B75" s="33" t="n">
        <v>169</v>
      </c>
      <c r="C75" s="33" t="n">
        <v>10.12</v>
      </c>
      <c r="D75" s="33" t="n">
        <v>71.8</v>
      </c>
      <c r="E75" s="33" t="n">
        <v>4.31</v>
      </c>
      <c r="F75" s="33" t="n">
        <v>78.7</v>
      </c>
      <c r="G75" s="33" t="n">
        <v>4.72</v>
      </c>
    </row>
    <row r="76" customFormat="false" ht="15" hidden="false" customHeight="false" outlineLevel="0" collapsed="false">
      <c r="A76" s="32" t="n">
        <v>4251</v>
      </c>
      <c r="B76" s="33" t="n">
        <v>118</v>
      </c>
      <c r="C76" s="33" t="n">
        <v>7.06</v>
      </c>
      <c r="D76" s="33" t="n">
        <v>76.3</v>
      </c>
      <c r="E76" s="33" t="n">
        <v>4.58</v>
      </c>
      <c r="F76" s="33" t="n">
        <v>70.4</v>
      </c>
      <c r="G76" s="33" t="n">
        <v>4.23</v>
      </c>
    </row>
    <row r="77" customFormat="false" ht="15" hidden="false" customHeight="false" outlineLevel="0" collapsed="false">
      <c r="A77" s="32" t="n">
        <v>4457</v>
      </c>
      <c r="B77" s="33" t="n">
        <v>143</v>
      </c>
      <c r="C77" s="33" t="n">
        <v>8.6</v>
      </c>
      <c r="D77" s="33" t="n">
        <v>49.8</v>
      </c>
      <c r="E77" s="33" t="n">
        <v>2.99</v>
      </c>
      <c r="F77" s="33" t="n">
        <v>53.8</v>
      </c>
      <c r="G77" s="33" t="n">
        <v>3.23</v>
      </c>
    </row>
    <row r="78" customFormat="false" ht="15" hidden="false" customHeight="false" outlineLevel="0" collapsed="false">
      <c r="A78" s="32" t="n">
        <v>4607</v>
      </c>
      <c r="B78" s="33" t="n">
        <v>252</v>
      </c>
      <c r="C78" s="33" t="n">
        <v>15.13</v>
      </c>
      <c r="D78" s="33" t="n">
        <v>62.6</v>
      </c>
      <c r="E78" s="33" t="n">
        <v>3.75</v>
      </c>
      <c r="F78" s="33" t="n">
        <v>59.9</v>
      </c>
      <c r="G78" s="33" t="n">
        <v>3.59</v>
      </c>
    </row>
    <row r="79" customFormat="false" ht="15" hidden="false" customHeight="false" outlineLevel="0" collapsed="false">
      <c r="A79" s="32" t="n">
        <v>4720</v>
      </c>
      <c r="B79" s="33" t="n">
        <v>572</v>
      </c>
      <c r="C79" s="33" t="n">
        <v>29.106</v>
      </c>
      <c r="D79" s="33" t="n">
        <v>34.9</v>
      </c>
      <c r="E79" s="33" t="n">
        <v>3.417</v>
      </c>
      <c r="F79" s="33" t="n">
        <v>39.4</v>
      </c>
      <c r="G79" s="33" t="n">
        <v>1.784</v>
      </c>
    </row>
    <row r="80" customFormat="false" ht="15" hidden="false" customHeight="false" outlineLevel="0" collapsed="false">
      <c r="A80" s="32" t="n">
        <v>4724</v>
      </c>
      <c r="B80" s="33" t="n">
        <v>556</v>
      </c>
      <c r="C80" s="33" t="n">
        <v>31.584</v>
      </c>
      <c r="D80" s="33" t="n">
        <v>63.9</v>
      </c>
      <c r="E80" s="33" t="n">
        <v>6.114</v>
      </c>
      <c r="F80" s="33" t="n">
        <v>62.5</v>
      </c>
      <c r="G80" s="33" t="n">
        <v>3.025</v>
      </c>
    </row>
    <row r="81" customFormat="false" ht="15" hidden="false" customHeight="false" outlineLevel="0" collapsed="false">
      <c r="A81" s="32" t="n">
        <v>4787</v>
      </c>
      <c r="B81" s="33" t="n">
        <v>634</v>
      </c>
      <c r="C81" s="33" t="n">
        <v>35.548</v>
      </c>
      <c r="D81" s="33" t="n">
        <v>37.9</v>
      </c>
      <c r="E81" s="33" t="n">
        <v>5.05</v>
      </c>
      <c r="F81" s="33" t="n">
        <v>48.4</v>
      </c>
      <c r="G81" s="33" t="n">
        <v>2.422</v>
      </c>
    </row>
    <row r="82" customFormat="false" ht="15" hidden="false" customHeight="false" outlineLevel="0" collapsed="false">
      <c r="A82" s="32" t="n">
        <v>4794</v>
      </c>
      <c r="B82" s="33" t="n">
        <v>651</v>
      </c>
      <c r="C82" s="33" t="n">
        <v>33.371</v>
      </c>
      <c r="D82" s="33" t="n">
        <v>39.7</v>
      </c>
      <c r="E82" s="33" t="n">
        <v>3.812</v>
      </c>
      <c r="F82" s="33" t="n">
        <v>42.7</v>
      </c>
      <c r="G82" s="33" t="n">
        <v>1.963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G4" activeCellId="1" sqref="J8:K9 G4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2" width="28.42"/>
    <col collapsed="false" customWidth="true" hidden="false" outlineLevel="0" max="3" min="3" style="2" width="13.15"/>
    <col collapsed="false" customWidth="true" hidden="false" outlineLevel="0" max="4" min="4" style="2" width="9.42"/>
    <col collapsed="false" customWidth="true" hidden="false" outlineLevel="0" max="5" min="5" style="2" width="14"/>
    <col collapsed="false" customWidth="true" hidden="false" outlineLevel="0" max="6" min="6" style="3" width="12.42"/>
    <col collapsed="false" customWidth="true" hidden="false" outlineLevel="0" max="7" min="7" style="1" width="11.14"/>
    <col collapsed="false" customWidth="true" hidden="false" outlineLevel="0" max="12" min="8" style="1" width="6.29"/>
    <col collapsed="false" customWidth="true" hidden="false" outlineLevel="0" max="13" min="13" style="1" width="12.71"/>
  </cols>
  <sheetData>
    <row r="1" customFormat="false" ht="15" hidden="false" customHeight="false" outlineLevel="0" collapsed="false">
      <c r="G1" s="34" t="s">
        <v>322</v>
      </c>
      <c r="H1" s="34"/>
      <c r="I1" s="34"/>
      <c r="J1" s="34"/>
      <c r="K1" s="34"/>
      <c r="L1" s="34"/>
      <c r="M1" s="35" t="s">
        <v>323</v>
      </c>
      <c r="N1" s="35"/>
      <c r="O1" s="35"/>
      <c r="P1" s="35"/>
      <c r="Q1" s="35"/>
      <c r="R1" s="35"/>
    </row>
    <row r="2" customFormat="false" ht="15.75" hidden="false" customHeight="false" outlineLevel="0" collapsed="false">
      <c r="G2" s="34" t="s">
        <v>7</v>
      </c>
      <c r="H2" s="34"/>
      <c r="I2" s="34" t="s">
        <v>9</v>
      </c>
      <c r="J2" s="34"/>
      <c r="K2" s="34" t="s">
        <v>11</v>
      </c>
      <c r="L2" s="34"/>
      <c r="M2" s="35" t="s">
        <v>7</v>
      </c>
      <c r="N2" s="35"/>
      <c r="O2" s="35" t="s">
        <v>9</v>
      </c>
      <c r="P2" s="35"/>
      <c r="Q2" s="35" t="s">
        <v>11</v>
      </c>
      <c r="R2" s="35"/>
    </row>
    <row r="3" customFormat="false" ht="15" hidden="false" customHeight="false" outlineLevel="0" collapsed="false">
      <c r="A3" s="4" t="s">
        <v>0</v>
      </c>
      <c r="B3" s="5" t="s">
        <v>1</v>
      </c>
      <c r="C3" s="6" t="s">
        <v>2</v>
      </c>
      <c r="D3" s="7" t="s">
        <v>3</v>
      </c>
      <c r="E3" s="8" t="s">
        <v>4</v>
      </c>
      <c r="F3" s="9" t="s">
        <v>324</v>
      </c>
      <c r="G3" s="36" t="s">
        <v>325</v>
      </c>
      <c r="H3" s="36" t="s">
        <v>326</v>
      </c>
      <c r="I3" s="36" t="s">
        <v>325</v>
      </c>
      <c r="J3" s="36" t="s">
        <v>326</v>
      </c>
      <c r="K3" s="36" t="s">
        <v>325</v>
      </c>
      <c r="L3" s="36" t="s">
        <v>326</v>
      </c>
      <c r="M3" s="37" t="s">
        <v>325</v>
      </c>
      <c r="N3" s="37" t="s">
        <v>326</v>
      </c>
      <c r="O3" s="37" t="s">
        <v>325</v>
      </c>
      <c r="P3" s="37" t="s">
        <v>326</v>
      </c>
      <c r="Q3" s="37" t="s">
        <v>325</v>
      </c>
      <c r="R3" s="37" t="s">
        <v>326</v>
      </c>
    </row>
    <row r="4" customFormat="false" ht="15" hidden="false" customHeight="false" outlineLevel="0" collapsed="false">
      <c r="A4" s="12" t="s">
        <v>16</v>
      </c>
      <c r="B4" s="5" t="s">
        <v>17</v>
      </c>
      <c r="C4" s="13" t="s">
        <v>18</v>
      </c>
      <c r="D4" s="14" t="n">
        <v>1</v>
      </c>
      <c r="E4" s="15" t="n">
        <v>1.011</v>
      </c>
      <c r="F4" s="16" t="n">
        <v>45574</v>
      </c>
      <c r="G4" s="38" t="n">
        <f aca="false">IF($A4="","",_xlfn.xlookup(--LEFT($A4,FIND("-",$A4&amp;"-")-1),LabSys!$A:$A,LabSys!$D:$D,""))</f>
        <v>51.7</v>
      </c>
      <c r="H4" s="38" t="n">
        <f aca="false">IF($A4="","",_xlfn.xlookup(--LEFT($A4,FIND("-",$A4&amp;"-")-1),LabSys!$A:$A,LabSys!$E:$E,""))</f>
        <v>3.1</v>
      </c>
      <c r="I4" s="38" t="n">
        <f aca="false">IF($A4="","",_xlfn.xlookup(--LEFT($A4,FIND("-",$A4&amp;"-")-1),LabSys!$A:$A,LabSys!$B:$B,""))</f>
        <v>143</v>
      </c>
      <c r="J4" s="38" t="n">
        <f aca="false">IF($A4="","",_xlfn.xlookup(--LEFT($A4,FIND("-",$A4&amp;"-")-1),LabSys!$A:$A,LabSys!$C:$C,""))</f>
        <v>8.58</v>
      </c>
      <c r="K4" s="38" t="n">
        <f aca="false">IF($A4="","",_xlfn.xlookup(--LEFT($A4,FIND("-",$A4&amp;"-")-1),LabSys!$A:$A,LabSys!$F:$F,""))</f>
        <v>59.7</v>
      </c>
      <c r="L4" s="38" t="n">
        <f aca="false">IF($A4="","",_xlfn.xlookup(--LEFT($A4,FIND("-",$A4&amp;"-")-1),LabSys!$A:$A,LabSys!$G:$G,""))</f>
        <v>3.58</v>
      </c>
      <c r="M4" s="39" t="n">
        <v>65.2661786291048</v>
      </c>
      <c r="N4" s="39" t="n">
        <v>0.135564790292035</v>
      </c>
      <c r="O4" s="39" t="n">
        <v>160.727117681155</v>
      </c>
      <c r="P4" s="39" t="n">
        <v>1.21517175131863</v>
      </c>
      <c r="Q4" s="39" t="n">
        <v>63.9306636491072</v>
      </c>
      <c r="R4" s="39" t="n">
        <v>0.0819804458709579</v>
      </c>
    </row>
    <row r="5" customFormat="false" ht="15" hidden="false" customHeight="false" outlineLevel="0" collapsed="false">
      <c r="A5" s="12" t="s">
        <v>20</v>
      </c>
      <c r="B5" s="5" t="s">
        <v>21</v>
      </c>
      <c r="C5" s="13" t="s">
        <v>22</v>
      </c>
      <c r="D5" s="14" t="n">
        <v>1</v>
      </c>
      <c r="E5" s="15" t="n">
        <v>0.926</v>
      </c>
      <c r="F5" s="16" t="n">
        <v>45572</v>
      </c>
      <c r="G5" s="38" t="n">
        <f aca="false">IF($A5="","",_xlfn.xlookup(--LEFT($A5,FIND("-",$A5&amp;"-")-1),LabSys!$A:$A,LabSys!$D:$D,""))</f>
        <v>64.3</v>
      </c>
      <c r="H5" s="38" t="n">
        <f aca="false">IF($A5="","",_xlfn.xlookup(--LEFT($A5,FIND("-",$A5&amp;"-")-1),LabSys!$A:$A,LabSys!$E:$E,""))</f>
        <v>3.86</v>
      </c>
      <c r="I5" s="38" t="n">
        <f aca="false">IF($A5="","",_xlfn.xlookup(--LEFT($A5,FIND("-",$A5&amp;"-")-1),LabSys!$A:$A,LabSys!$B:$B,""))</f>
        <v>170</v>
      </c>
      <c r="J5" s="38" t="n">
        <f aca="false">IF($A5="","",_xlfn.xlookup(--LEFT($A5,FIND("-",$A5&amp;"-")-1),LabSys!$A:$A,LabSys!$C:$C,""))</f>
        <v>10.17</v>
      </c>
      <c r="K5" s="38" t="n">
        <f aca="false">IF($A5="","",_xlfn.xlookup(--LEFT($A5,FIND("-",$A5&amp;"-")-1),LabSys!$A:$A,LabSys!$F:$F,""))</f>
        <v>70.7</v>
      </c>
      <c r="L5" s="38" t="n">
        <f aca="false">IF($A5="","",_xlfn.xlookup(--LEFT($A5,FIND("-",$A5&amp;"-")-1),LabSys!$A:$A,LabSys!$G:$G,""))</f>
        <v>4.24</v>
      </c>
      <c r="M5" s="39" t="n">
        <v>69.4175665963792</v>
      </c>
      <c r="N5" s="39" t="n">
        <v>0.175334431678034</v>
      </c>
      <c r="O5" s="39" t="n">
        <v>169.015498808419</v>
      </c>
      <c r="P5" s="39" t="n">
        <v>1.83583423104771</v>
      </c>
      <c r="Q5" s="39" t="n">
        <v>66.0684377661489</v>
      </c>
      <c r="R5" s="39" t="n">
        <v>0.106030443852948</v>
      </c>
    </row>
    <row r="6" customFormat="false" ht="15" hidden="false" customHeight="false" outlineLevel="0" collapsed="false">
      <c r="A6" s="12" t="s">
        <v>24</v>
      </c>
      <c r="B6" s="5" t="s">
        <v>25</v>
      </c>
      <c r="C6" s="13" t="s">
        <v>26</v>
      </c>
      <c r="D6" s="14" t="n">
        <v>1</v>
      </c>
      <c r="E6" s="15" t="n">
        <v>0.948</v>
      </c>
      <c r="F6" s="16" t="n">
        <v>45574</v>
      </c>
      <c r="G6" s="38" t="n">
        <f aca="false">IF($A6="","",_xlfn.xlookup(--LEFT($A6,FIND("-",$A6&amp;"-")-1),LabSys!$A:$A,LabSys!$D:$D,""))</f>
        <v>58.4</v>
      </c>
      <c r="H6" s="38" t="n">
        <f aca="false">IF($A6="","",_xlfn.xlookup(--LEFT($A6,FIND("-",$A6&amp;"-")-1),LabSys!$A:$A,LabSys!$E:$E,""))</f>
        <v>3.5</v>
      </c>
      <c r="I6" s="38" t="n">
        <f aca="false">IF($A6="","",_xlfn.xlookup(--LEFT($A6,FIND("-",$A6&amp;"-")-1),LabSys!$A:$A,LabSys!$B:$B,""))</f>
        <v>175</v>
      </c>
      <c r="J6" s="38" t="n">
        <f aca="false">IF($A6="","",_xlfn.xlookup(--LEFT($A6,FIND("-",$A6&amp;"-")-1),LabSys!$A:$A,LabSys!$C:$C,""))</f>
        <v>10.51</v>
      </c>
      <c r="K6" s="38" t="n">
        <f aca="false">IF($A6="","",_xlfn.xlookup(--LEFT($A6,FIND("-",$A6&amp;"-")-1),LabSys!$A:$A,LabSys!$F:$F,""))</f>
        <v>58.2</v>
      </c>
      <c r="L6" s="38" t="n">
        <f aca="false">IF($A6="","",_xlfn.xlookup(--LEFT($A6,FIND("-",$A6&amp;"-")-1),LabSys!$A:$A,LabSys!$G:$G,""))</f>
        <v>3.49</v>
      </c>
      <c r="M6" s="39" t="n">
        <v>63.6647184638528</v>
      </c>
      <c r="N6" s="39" t="n">
        <v>0.155849428626299</v>
      </c>
      <c r="O6" s="39" t="n">
        <v>182.173765222526</v>
      </c>
      <c r="P6" s="39" t="n">
        <v>1.78964559250388</v>
      </c>
      <c r="Q6" s="39" t="n">
        <v>57.198443765169</v>
      </c>
      <c r="R6" s="39" t="n">
        <v>0.0942472276171017</v>
      </c>
    </row>
    <row r="7" customFormat="false" ht="15" hidden="false" customHeight="false" outlineLevel="0" collapsed="false">
      <c r="A7" s="12" t="s">
        <v>28</v>
      </c>
      <c r="B7" s="5" t="s">
        <v>29</v>
      </c>
      <c r="C7" s="13" t="s">
        <v>30</v>
      </c>
      <c r="D7" s="14" t="n">
        <v>1</v>
      </c>
      <c r="E7" s="15" t="n">
        <v>0.893</v>
      </c>
      <c r="F7" s="16" t="n">
        <v>45590</v>
      </c>
      <c r="G7" s="38" t="n">
        <f aca="false">IF($A7="","",_xlfn.xlookup(--LEFT($A7,FIND("-",$A7&amp;"-")-1),LabSys!$A:$A,LabSys!$D:$D,""))</f>
        <v>57.8</v>
      </c>
      <c r="H7" s="38" t="n">
        <f aca="false">IF($A7="","",_xlfn.xlookup(--LEFT($A7,FIND("-",$A7&amp;"-")-1),LabSys!$A:$A,LabSys!$E:$E,""))</f>
        <v>3.47</v>
      </c>
      <c r="I7" s="38" t="n">
        <f aca="false">IF($A7="","",_xlfn.xlookup(--LEFT($A7,FIND("-",$A7&amp;"-")-1),LabSys!$A:$A,LabSys!$B:$B,""))</f>
        <v>227</v>
      </c>
      <c r="J7" s="38" t="n">
        <f aca="false">IF($A7="","",_xlfn.xlookup(--LEFT($A7,FIND("-",$A7&amp;"-")-1),LabSys!$A:$A,LabSys!$C:$C,""))</f>
        <v>13.63</v>
      </c>
      <c r="K7" s="38" t="n">
        <f aca="false">IF($A7="","",_xlfn.xlookup(--LEFT($A7,FIND("-",$A7&amp;"-")-1),LabSys!$A:$A,LabSys!$F:$F,""))</f>
        <v>59.3</v>
      </c>
      <c r="L7" s="38" t="n">
        <f aca="false">IF($A7="","",_xlfn.xlookup(--LEFT($A7,FIND("-",$A7&amp;"-")-1),LabSys!$A:$A,LabSys!$G:$G,""))</f>
        <v>3.56</v>
      </c>
      <c r="M7" s="39" t="n">
        <v>65.6291163616882</v>
      </c>
      <c r="N7" s="39" t="n">
        <v>0.187556294079872</v>
      </c>
      <c r="O7" s="39" t="n">
        <v>239.373921816397</v>
      </c>
      <c r="P7" s="39" t="n">
        <v>1.75176877263275</v>
      </c>
      <c r="Q7" s="39" t="n">
        <v>58.1841456501345</v>
      </c>
      <c r="R7" s="39" t="n">
        <v>0.113421402278936</v>
      </c>
    </row>
    <row r="8" customFormat="false" ht="15" hidden="false" customHeight="false" outlineLevel="0" collapsed="false">
      <c r="A8" s="12" t="s">
        <v>32</v>
      </c>
      <c r="B8" s="5" t="s">
        <v>33</v>
      </c>
      <c r="C8" s="13" t="s">
        <v>34</v>
      </c>
      <c r="D8" s="14" t="n">
        <v>1</v>
      </c>
      <c r="E8" s="15" t="n">
        <v>0.989</v>
      </c>
      <c r="F8" s="16" t="n">
        <v>45594</v>
      </c>
      <c r="G8" s="38" t="n">
        <f aca="false">IF($A8="","",_xlfn.xlookup(--LEFT($A8,FIND("-",$A8&amp;"-")-1),LabSys!$A:$A,LabSys!$D:$D,""))</f>
        <v>96.2</v>
      </c>
      <c r="H8" s="38" t="n">
        <f aca="false">IF($A8="","",_xlfn.xlookup(--LEFT($A8,FIND("-",$A8&amp;"-")-1),LabSys!$A:$A,LabSys!$E:$E,""))</f>
        <v>5.77</v>
      </c>
      <c r="I8" s="38" t="n">
        <f aca="false">IF($A8="","",_xlfn.xlookup(--LEFT($A8,FIND("-",$A8&amp;"-")-1),LabSys!$A:$A,LabSys!$B:$B,""))</f>
        <v>322</v>
      </c>
      <c r="J8" s="38" t="n">
        <f aca="false">IF($A8="","",_xlfn.xlookup(--LEFT($A8,FIND("-",$A8&amp;"-")-1),LabSys!$A:$A,LabSys!$C:$C,""))</f>
        <v>19.32</v>
      </c>
      <c r="K8" s="38" t="n">
        <f aca="false">IF($A8="","",_xlfn.xlookup(--LEFT($A8,FIND("-",$A8&amp;"-")-1),LabSys!$A:$A,LabSys!$F:$F,""))</f>
        <v>86.9</v>
      </c>
      <c r="L8" s="38" t="n">
        <f aca="false">IF($A8="","",_xlfn.xlookup(--LEFT($A8,FIND("-",$A8&amp;"-")-1),LabSys!$A:$A,LabSys!$G:$G,""))</f>
        <v>5.22</v>
      </c>
      <c r="M8" s="39" t="n">
        <v>115.690072602443</v>
      </c>
      <c r="N8" s="39" t="n">
        <v>0.257875511990528</v>
      </c>
      <c r="O8" s="39" t="n">
        <v>351.683697278144</v>
      </c>
      <c r="P8" s="39" t="n">
        <v>2.31979717582037</v>
      </c>
      <c r="Q8" s="39" t="n">
        <v>92.4714874349018</v>
      </c>
      <c r="R8" s="39" t="n">
        <v>0.155945724598869</v>
      </c>
    </row>
    <row r="9" customFormat="false" ht="15" hidden="false" customHeight="false" outlineLevel="0" collapsed="false">
      <c r="A9" s="12" t="s">
        <v>36</v>
      </c>
      <c r="B9" s="5" t="s">
        <v>37</v>
      </c>
      <c r="C9" s="13" t="s">
        <v>38</v>
      </c>
      <c r="D9" s="14" t="n">
        <v>1</v>
      </c>
      <c r="E9" s="15" t="n">
        <v>0.676</v>
      </c>
      <c r="F9" s="16" t="n">
        <v>45616</v>
      </c>
      <c r="G9" s="38" t="n">
        <f aca="false">IF($A9="","",_xlfn.xlookup(--LEFT($A9,FIND("-",$A9&amp;"-")-1),LabSys!$A:$A,LabSys!$D:$D,""))</f>
        <v>71.8</v>
      </c>
      <c r="H9" s="38" t="n">
        <f aca="false">IF($A9="","",_xlfn.xlookup(--LEFT($A9,FIND("-",$A9&amp;"-")-1),LabSys!$A:$A,LabSys!$E:$E,""))</f>
        <v>4.31</v>
      </c>
      <c r="I9" s="38" t="n">
        <f aca="false">IF($A9="","",_xlfn.xlookup(--LEFT($A9,FIND("-",$A9&amp;"-")-1),LabSys!$A:$A,LabSys!$B:$B,""))</f>
        <v>169</v>
      </c>
      <c r="J9" s="38" t="n">
        <f aca="false">IF($A9="","",_xlfn.xlookup(--LEFT($A9,FIND("-",$A9&amp;"-")-1),LabSys!$A:$A,LabSys!$C:$C,""))</f>
        <v>10.12</v>
      </c>
      <c r="K9" s="38" t="n">
        <f aca="false">IF($A9="","",_xlfn.xlookup(--LEFT($A9,FIND("-",$A9&amp;"-")-1),LabSys!$A:$A,LabSys!$F:$F,""))</f>
        <v>78.7</v>
      </c>
      <c r="L9" s="38" t="n">
        <f aca="false">IF($A9="","",_xlfn.xlookup(--LEFT($A9,FIND("-",$A9&amp;"-")-1),LabSys!$A:$A,LabSys!$G:$G,""))</f>
        <v>4.72</v>
      </c>
      <c r="M9" s="39" t="n">
        <v>60.9385121224322</v>
      </c>
      <c r="N9" s="39" t="n">
        <v>0.224858003276397</v>
      </c>
      <c r="O9" s="39" t="n">
        <v>130.682429487267</v>
      </c>
      <c r="P9" s="39" t="n">
        <v>1.63002451652593</v>
      </c>
      <c r="Q9" s="39" t="n">
        <v>56.6525646185347</v>
      </c>
      <c r="R9" s="39" t="n">
        <v>0.117478430717215</v>
      </c>
    </row>
    <row r="10" customFormat="false" ht="15" hidden="false" customHeight="false" outlineLevel="0" collapsed="false">
      <c r="A10" s="12" t="s">
        <v>44</v>
      </c>
      <c r="B10" s="5" t="s">
        <v>45</v>
      </c>
      <c r="C10" s="13" t="s">
        <v>46</v>
      </c>
      <c r="D10" s="14" t="n">
        <v>1</v>
      </c>
      <c r="E10" s="15" t="n">
        <v>0.888</v>
      </c>
      <c r="F10" s="16" t="n">
        <v>45617</v>
      </c>
      <c r="G10" s="38" t="n">
        <f aca="false">IF($A10="","",_xlfn.xlookup(--LEFT($A10,FIND("-",$A10&amp;"-")-1),LabSys!$A:$A,LabSys!$D:$D,""))</f>
        <v>76.3</v>
      </c>
      <c r="H10" s="38" t="n">
        <f aca="false">IF($A10="","",_xlfn.xlookup(--LEFT($A10,FIND("-",$A10&amp;"-")-1),LabSys!$A:$A,LabSys!$E:$E,""))</f>
        <v>4.58</v>
      </c>
      <c r="I10" s="38" t="n">
        <f aca="false">IF($A10="","",_xlfn.xlookup(--LEFT($A10,FIND("-",$A10&amp;"-")-1),LabSys!$A:$A,LabSys!$B:$B,""))</f>
        <v>118</v>
      </c>
      <c r="J10" s="38" t="n">
        <f aca="false">IF($A10="","",_xlfn.xlookup(--LEFT($A10,FIND("-",$A10&amp;"-")-1),LabSys!$A:$A,LabSys!$C:$C,""))</f>
        <v>7.06</v>
      </c>
      <c r="K10" s="38" t="n">
        <f aca="false">IF($A10="","",_xlfn.xlookup(--LEFT($A10,FIND("-",$A10&amp;"-")-1),LabSys!$A:$A,LabSys!$F:$F,""))</f>
        <v>70.4</v>
      </c>
      <c r="L10" s="38" t="n">
        <f aca="false">IF($A10="","",_xlfn.xlookup(--LEFT($A10,FIND("-",$A10&amp;"-")-1),LabSys!$A:$A,LabSys!$G:$G,""))</f>
        <v>4.23</v>
      </c>
      <c r="M10" s="39" t="n">
        <v>80.3658071216463</v>
      </c>
      <c r="N10" s="39" t="n">
        <v>0.197670314131924</v>
      </c>
      <c r="O10" s="39" t="n">
        <v>117.739056471626</v>
      </c>
      <c r="P10" s="39" t="n">
        <v>1.62649597802268</v>
      </c>
      <c r="Q10" s="39" t="n">
        <v>64.4672316324066</v>
      </c>
      <c r="R10" s="39" t="n">
        <v>0.10327405725049</v>
      </c>
    </row>
    <row r="11" customFormat="false" ht="15" hidden="false" customHeight="false" outlineLevel="0" collapsed="false">
      <c r="A11" s="12" t="s">
        <v>48</v>
      </c>
      <c r="B11" s="5" t="s">
        <v>49</v>
      </c>
      <c r="C11" s="13" t="s">
        <v>43</v>
      </c>
      <c r="D11" s="14" t="n">
        <v>1</v>
      </c>
      <c r="E11" s="15" t="n">
        <v>1.167</v>
      </c>
      <c r="F11" s="16" t="n">
        <v>45630</v>
      </c>
      <c r="G11" s="38" t="n">
        <f aca="false">IF($A11="","",_xlfn.xlookup(--LEFT($A11,FIND("-",$A11&amp;"-")-1),LabSys!$A:$A,LabSys!$D:$D,""))</f>
        <v>49.8</v>
      </c>
      <c r="H11" s="38" t="n">
        <f aca="false">IF($A11="","",_xlfn.xlookup(--LEFT($A11,FIND("-",$A11&amp;"-")-1),LabSys!$A:$A,LabSys!$E:$E,""))</f>
        <v>2.99</v>
      </c>
      <c r="I11" s="38" t="n">
        <f aca="false">IF($A11="","",_xlfn.xlookup(--LEFT($A11,FIND("-",$A11&amp;"-")-1),LabSys!$A:$A,LabSys!$B:$B,""))</f>
        <v>143</v>
      </c>
      <c r="J11" s="38" t="n">
        <f aca="false">IF($A11="","",_xlfn.xlookup(--LEFT($A11,FIND("-",$A11&amp;"-")-1),LabSys!$A:$A,LabSys!$C:$C,""))</f>
        <v>8.6</v>
      </c>
      <c r="K11" s="38" t="n">
        <f aca="false">IF($A11="","",_xlfn.xlookup(--LEFT($A11,FIND("-",$A11&amp;"-")-1),LabSys!$A:$A,LabSys!$F:$F,""))</f>
        <v>53.8</v>
      </c>
      <c r="L11" s="38" t="n">
        <f aca="false">IF($A11="","",_xlfn.xlookup(--LEFT($A11,FIND("-",$A11&amp;"-")-1),LabSys!$A:$A,LabSys!$G:$G,""))</f>
        <v>3.23</v>
      </c>
      <c r="M11" s="39" t="n">
        <v>72.2086597099361</v>
      </c>
      <c r="N11" s="39" t="n">
        <v>0.195545396756045</v>
      </c>
      <c r="O11" s="39" t="n">
        <v>176.578395375197</v>
      </c>
      <c r="P11" s="39" t="n">
        <v>1.24833344802502</v>
      </c>
      <c r="Q11" s="39" t="n">
        <v>65.0514616542102</v>
      </c>
      <c r="R11" s="39" t="n">
        <v>0.102163881250149</v>
      </c>
    </row>
    <row r="12" customFormat="false" ht="15" hidden="false" customHeight="false" outlineLevel="0" collapsed="false">
      <c r="A12" s="12" t="s">
        <v>53</v>
      </c>
      <c r="B12" s="5" t="s">
        <v>54</v>
      </c>
      <c r="C12" s="13" t="s">
        <v>39</v>
      </c>
      <c r="D12" s="14" t="n">
        <v>1</v>
      </c>
      <c r="E12" s="15" t="n">
        <v>0.697</v>
      </c>
      <c r="F12" s="16" t="n">
        <v>45637</v>
      </c>
      <c r="G12" s="38" t="n">
        <f aca="false">IF($A12="","",_xlfn.xlookup(--LEFT($A12,FIND("-",$A12&amp;"-")-1),LabSys!$A:$A,LabSys!$D:$D,""))</f>
        <v>62.6</v>
      </c>
      <c r="H12" s="38" t="n">
        <f aca="false">IF($A12="","",_xlfn.xlookup(--LEFT($A12,FIND("-",$A12&amp;"-")-1),LabSys!$A:$A,LabSys!$E:$E,""))</f>
        <v>3.75</v>
      </c>
      <c r="I12" s="38" t="n">
        <f aca="false">IF($A12="","",_xlfn.xlookup(--LEFT($A12,FIND("-",$A12&amp;"-")-1),LabSys!$A:$A,LabSys!$B:$B,""))</f>
        <v>252</v>
      </c>
      <c r="J12" s="38" t="n">
        <f aca="false">IF($A12="","",_xlfn.xlookup(--LEFT($A12,FIND("-",$A12&amp;"-")-1),LabSys!$A:$A,LabSys!$C:$C,""))</f>
        <v>15.13</v>
      </c>
      <c r="K12" s="38" t="n">
        <f aca="false">IF($A12="","",_xlfn.xlookup(--LEFT($A12,FIND("-",$A12&amp;"-")-1),LabSys!$A:$A,LabSys!$F:$F,""))</f>
        <v>59.9</v>
      </c>
      <c r="L12" s="38" t="n">
        <f aca="false">IF($A12="","",_xlfn.xlookup(--LEFT($A12,FIND("-",$A12&amp;"-")-1),LabSys!$A:$A,LabSys!$G:$G,""))</f>
        <v>3.59</v>
      </c>
      <c r="M12" s="39" t="n">
        <v>56.3266473672566</v>
      </c>
      <c r="N12" s="39" t="n">
        <v>0.173354945531377</v>
      </c>
      <c r="O12" s="39" t="n">
        <v>195.643589071415</v>
      </c>
      <c r="P12" s="39" t="n">
        <v>1.1868141921584</v>
      </c>
      <c r="Q12" s="39" t="n">
        <v>45.9034334228971</v>
      </c>
      <c r="R12" s="39" t="n">
        <v>0.0905703451126939</v>
      </c>
    </row>
    <row r="13" customFormat="false" ht="15" hidden="false" customHeight="false" outlineLevel="0" collapsed="false">
      <c r="A13" s="12" t="s">
        <v>55</v>
      </c>
      <c r="B13" s="5" t="s">
        <v>56</v>
      </c>
      <c r="C13" s="13" t="s">
        <v>35</v>
      </c>
      <c r="D13" s="14" t="n">
        <v>1</v>
      </c>
      <c r="E13" s="15" t="n">
        <v>1.369</v>
      </c>
      <c r="F13" s="16" t="n">
        <v>45616</v>
      </c>
      <c r="G13" s="38" t="n">
        <f aca="false">IF($A13="","",_xlfn.xlookup(--LEFT($A13,FIND("-",$A13&amp;"-")-1),LabSys!$A:$A,LabSys!$D:$D,""))</f>
        <v>34.9</v>
      </c>
      <c r="H13" s="38" t="n">
        <f aca="false">IF($A13="","",_xlfn.xlookup(--LEFT($A13,FIND("-",$A13&amp;"-")-1),LabSys!$A:$A,LabSys!$E:$E,""))</f>
        <v>3.417</v>
      </c>
      <c r="I13" s="38" t="n">
        <f aca="false">IF($A13="","",_xlfn.xlookup(--LEFT($A13,FIND("-",$A13&amp;"-")-1),LabSys!$A:$A,LabSys!$B:$B,""))</f>
        <v>572</v>
      </c>
      <c r="J13" s="38" t="n">
        <f aca="false">IF($A13="","",_xlfn.xlookup(--LEFT($A13,FIND("-",$A13&amp;"-")-1),LabSys!$A:$A,LabSys!$C:$C,""))</f>
        <v>29.106</v>
      </c>
      <c r="K13" s="38" t="n">
        <f aca="false">IF($A13="","",_xlfn.xlookup(--LEFT($A13,FIND("-",$A13&amp;"-")-1),LabSys!$A:$A,LabSys!$F:$F,""))</f>
        <v>39.4</v>
      </c>
      <c r="L13" s="38" t="n">
        <f aca="false">IF($A13="","",_xlfn.xlookup(--LEFT($A13,FIND("-",$A13&amp;"-")-1),LabSys!$A:$A,LabSys!$G:$G,""))</f>
        <v>1.784</v>
      </c>
      <c r="M13" s="39" t="n">
        <v>54.921704644212</v>
      </c>
      <c r="N13" s="39" t="n">
        <v>0.237616286551744</v>
      </c>
      <c r="O13" s="39" t="n">
        <v>833.59319979733</v>
      </c>
      <c r="P13" s="39" t="n">
        <v>2.04548311675743</v>
      </c>
      <c r="Q13" s="39" t="n">
        <v>54.1045929222505</v>
      </c>
      <c r="R13" s="39" t="n">
        <v>0.124144073371665</v>
      </c>
    </row>
    <row r="14" customFormat="false" ht="15" hidden="false" customHeight="false" outlineLevel="0" collapsed="false">
      <c r="A14" s="12" t="s">
        <v>58</v>
      </c>
      <c r="B14" s="5" t="s">
        <v>56</v>
      </c>
      <c r="C14" s="13" t="s">
        <v>31</v>
      </c>
      <c r="D14" s="14" t="n">
        <v>1</v>
      </c>
      <c r="E14" s="15" t="n">
        <v>1.289</v>
      </c>
      <c r="F14" s="16" t="n">
        <v>45616</v>
      </c>
      <c r="G14" s="38" t="n">
        <f aca="false">IF($A14="","",_xlfn.xlookup(--LEFT($A14,FIND("-",$A14&amp;"-")-1),LabSys!$A:$A,LabSys!$D:$D,""))</f>
        <v>50.7</v>
      </c>
      <c r="H14" s="38" t="n">
        <f aca="false">IF($A14="","",_xlfn.xlookup(--LEFT($A14,FIND("-",$A14&amp;"-")-1),LabSys!$A:$A,LabSys!$E:$E,""))</f>
        <v>4.699</v>
      </c>
      <c r="I14" s="38" t="n">
        <f aca="false">IF($A14="","",_xlfn.xlookup(--LEFT($A14,FIND("-",$A14&amp;"-")-1),LabSys!$A:$A,LabSys!$B:$B,""))</f>
        <v>602</v>
      </c>
      <c r="J14" s="38" t="n">
        <f aca="false">IF($A14="","",_xlfn.xlookup(--LEFT($A14,FIND("-",$A14&amp;"-")-1),LabSys!$A:$A,LabSys!$C:$C,""))</f>
        <v>30.865</v>
      </c>
      <c r="K14" s="38" t="n">
        <f aca="false">IF($A14="","",_xlfn.xlookup(--LEFT($A14,FIND("-",$A14&amp;"-")-1),LabSys!$A:$A,LabSys!$F:$F,""))</f>
        <v>52</v>
      </c>
      <c r="L14" s="38" t="n">
        <f aca="false">IF($A14="","",_xlfn.xlookup(--LEFT($A14,FIND("-",$A14&amp;"-")-1),LabSys!$A:$A,LabSys!$G:$G,""))</f>
        <v>2.34</v>
      </c>
      <c r="M14" s="39" t="n">
        <v>78.1918884940948</v>
      </c>
      <c r="N14" s="39" t="n">
        <v>0.259912856187705</v>
      </c>
      <c r="O14" s="39" t="n">
        <v>840.93572894758</v>
      </c>
      <c r="P14" s="39" t="n">
        <v>2.1497121816944</v>
      </c>
      <c r="Q14" s="39" t="n">
        <v>69.2568682210984</v>
      </c>
      <c r="R14" s="39" t="n">
        <v>0.135793051718191</v>
      </c>
    </row>
    <row r="15" customFormat="false" ht="15" hidden="false" customHeight="false" outlineLevel="0" collapsed="false">
      <c r="A15" s="12" t="s">
        <v>60</v>
      </c>
      <c r="B15" s="5" t="s">
        <v>56</v>
      </c>
      <c r="C15" s="13" t="s">
        <v>27</v>
      </c>
      <c r="D15" s="14" t="n">
        <v>1</v>
      </c>
      <c r="E15" s="15" t="n">
        <v>1.331</v>
      </c>
      <c r="F15" s="16" t="n">
        <v>45616</v>
      </c>
      <c r="G15" s="38" t="n">
        <f aca="false">IF($A15="","",_xlfn.xlookup(--LEFT($A15,FIND("-",$A15&amp;"-")-1),LabSys!$A:$A,LabSys!$D:$D,""))</f>
        <v>63.9</v>
      </c>
      <c r="H15" s="38" t="n">
        <f aca="false">IF($A15="","",_xlfn.xlookup(--LEFT($A15,FIND("-",$A15&amp;"-")-1),LabSys!$A:$A,LabSys!$E:$E,""))</f>
        <v>6.114</v>
      </c>
      <c r="I15" s="38" t="n">
        <f aca="false">IF($A15="","",_xlfn.xlookup(--LEFT($A15,FIND("-",$A15&amp;"-")-1),LabSys!$A:$A,LabSys!$B:$B,""))</f>
        <v>556</v>
      </c>
      <c r="J15" s="38" t="n">
        <f aca="false">IF($A15="","",_xlfn.xlookup(--LEFT($A15,FIND("-",$A15&amp;"-")-1),LabSys!$A:$A,LabSys!$C:$C,""))</f>
        <v>31.584</v>
      </c>
      <c r="K15" s="38" t="n">
        <f aca="false">IF($A15="","",_xlfn.xlookup(--LEFT($A15,FIND("-",$A15&amp;"-")-1),LabSys!$A:$A,LabSys!$F:$F,""))</f>
        <v>62.5</v>
      </c>
      <c r="L15" s="38" t="n">
        <f aca="false">IF($A15="","",_xlfn.xlookup(--LEFT($A15,FIND("-",$A15&amp;"-")-1),LabSys!$A:$A,LabSys!$G:$G,""))</f>
        <v>3.025</v>
      </c>
      <c r="M15" s="39" t="n">
        <v>95.5000010890446</v>
      </c>
      <c r="N15" s="39" t="n">
        <v>0.351536876724936</v>
      </c>
      <c r="O15" s="39" t="n">
        <v>793.493650021167</v>
      </c>
      <c r="P15" s="39" t="n">
        <v>2.66271450137604</v>
      </c>
      <c r="Q15" s="39" t="n">
        <v>83.6512678782772</v>
      </c>
      <c r="R15" s="39" t="n">
        <v>0.183662578227705</v>
      </c>
    </row>
    <row r="16" customFormat="false" ht="15" hidden="false" customHeight="false" outlineLevel="0" collapsed="false">
      <c r="A16" s="12" t="s">
        <v>62</v>
      </c>
      <c r="B16" s="5" t="s">
        <v>63</v>
      </c>
      <c r="C16" s="13" t="s">
        <v>23</v>
      </c>
      <c r="D16" s="14" t="n">
        <v>1</v>
      </c>
      <c r="E16" s="15" t="n">
        <v>1.318</v>
      </c>
      <c r="F16" s="16" t="n">
        <v>45610</v>
      </c>
      <c r="G16" s="38" t="n">
        <f aca="false">IF($A16="","",_xlfn.xlookup(--LEFT($A16,FIND("-",$A16&amp;"-")-1),LabSys!$A:$A,LabSys!$D:$D,""))</f>
        <v>37.9</v>
      </c>
      <c r="H16" s="38" t="n">
        <f aca="false">IF($A16="","",_xlfn.xlookup(--LEFT($A16,FIND("-",$A16&amp;"-")-1),LabSys!$A:$A,LabSys!$E:$E,""))</f>
        <v>5.05</v>
      </c>
      <c r="I16" s="38" t="n">
        <f aca="false">IF($A16="","",_xlfn.xlookup(--LEFT($A16,FIND("-",$A16&amp;"-")-1),LabSys!$A:$A,LabSys!$B:$B,""))</f>
        <v>634</v>
      </c>
      <c r="J16" s="38" t="n">
        <f aca="false">IF($A16="","",_xlfn.xlookup(--LEFT($A16,FIND("-",$A16&amp;"-")-1),LabSys!$A:$A,LabSys!$C:$C,""))</f>
        <v>35.548</v>
      </c>
      <c r="K16" s="38" t="n">
        <f aca="false">IF($A16="","",_xlfn.xlookup(--LEFT($A16,FIND("-",$A16&amp;"-")-1),LabSys!$A:$A,LabSys!$F:$F,""))</f>
        <v>48.4</v>
      </c>
      <c r="L16" s="38" t="n">
        <f aca="false">IF($A16="","",_xlfn.xlookup(--LEFT($A16,FIND("-",$A16&amp;"-")-1),LabSys!$A:$A,LabSys!$G:$G,""))</f>
        <v>2.422</v>
      </c>
      <c r="M16" s="39" t="n">
        <v>52.8769856433074</v>
      </c>
      <c r="N16" s="39" t="n">
        <v>0.24570299133828</v>
      </c>
      <c r="O16" s="39" t="n">
        <v>903.625751896226</v>
      </c>
      <c r="P16" s="39" t="n">
        <v>2.57864306183142</v>
      </c>
      <c r="Q16" s="39" t="n">
        <v>68.0619992523918</v>
      </c>
      <c r="R16" s="39" t="n">
        <v>0.128369021446241</v>
      </c>
    </row>
    <row r="17" customFormat="false" ht="15" hidden="false" customHeight="false" outlineLevel="0" collapsed="false">
      <c r="A17" s="12" t="s">
        <v>66</v>
      </c>
      <c r="B17" s="5" t="s">
        <v>67</v>
      </c>
      <c r="C17" s="13" t="s">
        <v>19</v>
      </c>
      <c r="D17" s="14" t="n">
        <v>1</v>
      </c>
      <c r="E17" s="15" t="n">
        <v>1.27</v>
      </c>
      <c r="F17" s="16" t="n">
        <v>45611</v>
      </c>
      <c r="G17" s="38" t="n">
        <f aca="false">IF($A17="","",_xlfn.xlookup(--LEFT($A17,FIND("-",$A17&amp;"-")-1),LabSys!$A:$A,LabSys!$D:$D,""))</f>
        <v>39.7</v>
      </c>
      <c r="H17" s="38" t="n">
        <f aca="false">IF($A17="","",_xlfn.xlookup(--LEFT($A17,FIND("-",$A17&amp;"-")-1),LabSys!$A:$A,LabSys!$E:$E,""))</f>
        <v>3.812</v>
      </c>
      <c r="I17" s="38" t="n">
        <f aca="false">IF($A17="","",_xlfn.xlookup(--LEFT($A17,FIND("-",$A17&amp;"-")-1),LabSys!$A:$A,LabSys!$B:$B,""))</f>
        <v>651</v>
      </c>
      <c r="J17" s="38" t="n">
        <f aca="false">IF($A17="","",_xlfn.xlookup(--LEFT($A17,FIND("-",$A17&amp;"-")-1),LabSys!$A:$A,LabSys!$C:$C,""))</f>
        <v>33.371</v>
      </c>
      <c r="K17" s="38" t="n">
        <f aca="false">IF($A17="","",_xlfn.xlookup(--LEFT($A17,FIND("-",$A17&amp;"-")-1),LabSys!$A:$A,LabSys!$F:$F,""))</f>
        <v>42.7</v>
      </c>
      <c r="L17" s="38" t="n">
        <f aca="false">IF($A17="","",_xlfn.xlookup(--LEFT($A17,FIND("-",$A17&amp;"-")-1),LabSys!$A:$A,LabSys!$G:$G,""))</f>
        <v>1.963</v>
      </c>
      <c r="M17" s="39" t="n">
        <v>42.0235254957659</v>
      </c>
      <c r="N17" s="39" t="n">
        <v>0.168632239796774</v>
      </c>
      <c r="O17" s="39" t="n">
        <v>851.593640166373</v>
      </c>
      <c r="P17" s="39" t="n">
        <v>2.00356088590994</v>
      </c>
      <c r="Q17" s="39" t="n">
        <v>53.2158026614054</v>
      </c>
      <c r="R17" s="39" t="n">
        <v>0.0881029387924555</v>
      </c>
    </row>
    <row r="18" customFormat="false" ht="15" hidden="false" customHeight="false" outlineLevel="0" collapsed="false">
      <c r="A18" s="12" t="s">
        <v>73</v>
      </c>
      <c r="B18" s="5" t="s">
        <v>74</v>
      </c>
      <c r="C18" s="13" t="s">
        <v>75</v>
      </c>
      <c r="D18" s="14" t="n">
        <v>1</v>
      </c>
      <c r="E18" s="20" t="n">
        <v>1.76</v>
      </c>
      <c r="F18" s="16" t="n">
        <v>45588</v>
      </c>
      <c r="G18" s="38" t="n">
        <f aca="false">IF($A18="","",_xlfn.xlookup(--LEFT($A18,FIND("-",$A18&amp;"-")-1),LabSys!$A:$A,LabSys!$D:$D,""))</f>
        <v>15.4</v>
      </c>
      <c r="H18" s="38" t="n">
        <f aca="false">IF($A18="","",_xlfn.xlookup(--LEFT($A18,FIND("-",$A18&amp;"-")-1),LabSys!$A:$A,LabSys!$E:$E,""))</f>
        <v>2.86</v>
      </c>
      <c r="I18" s="38" t="n">
        <f aca="false">IF($A18="","",_xlfn.xlookup(--LEFT($A18,FIND("-",$A18&amp;"-")-1),LabSys!$A:$A,LabSys!$B:$B,""))</f>
        <v>529</v>
      </c>
      <c r="J18" s="38" t="n">
        <f aca="false">IF($A18="","",_xlfn.xlookup(--LEFT($A18,FIND("-",$A18&amp;"-")-1),LabSys!$A:$A,LabSys!$C:$C,""))</f>
        <v>29.551</v>
      </c>
      <c r="K18" s="38" t="n">
        <f aca="false">IF($A18="","",_xlfn.xlookup(--LEFT($A18,FIND("-",$A18&amp;"-")-1),LabSys!$A:$A,LabSys!$F:$F,""))</f>
        <v>18.7</v>
      </c>
      <c r="L18" s="38" t="n">
        <f aca="false">IF($A18="","",_xlfn.xlookup(--LEFT($A18,FIND("-",$A18&amp;"-")-1),LabSys!$A:$A,LabSys!$G:$G,""))</f>
        <v>1.063</v>
      </c>
      <c r="M18" s="39" t="n">
        <v>27.0562806275653</v>
      </c>
      <c r="N18" s="39" t="n">
        <v>0.236501216637436</v>
      </c>
      <c r="O18" s="39" t="n">
        <v>927.616822472535</v>
      </c>
      <c r="P18" s="39" t="n">
        <v>2.45495918833929</v>
      </c>
      <c r="Q18" s="39" t="n">
        <v>34.3943619488698</v>
      </c>
      <c r="R18" s="39" t="n">
        <v>0.143019991748553</v>
      </c>
    </row>
    <row r="19" customFormat="false" ht="15" hidden="false" customHeight="false" outlineLevel="0" collapsed="false">
      <c r="A19" s="12" t="s">
        <v>77</v>
      </c>
      <c r="B19" s="5" t="s">
        <v>78</v>
      </c>
      <c r="C19" s="13" t="s">
        <v>79</v>
      </c>
      <c r="D19" s="14" t="n">
        <v>1</v>
      </c>
      <c r="E19" s="15" t="n">
        <v>1.682</v>
      </c>
      <c r="F19" s="16" t="n">
        <v>45610</v>
      </c>
      <c r="G19" s="38" t="n">
        <f aca="false">IF($A19="","",_xlfn.xlookup(--LEFT($A19,FIND("-",$A19&amp;"-")-1),LabSys!$A:$A,LabSys!$D:$D,""))</f>
        <v>25.5</v>
      </c>
      <c r="H19" s="38" t="n">
        <f aca="false">IF($A19="","",_xlfn.xlookup(--LEFT($A19,FIND("-",$A19&amp;"-")-1),LabSys!$A:$A,LabSys!$E:$E,""))</f>
        <v>2.321</v>
      </c>
      <c r="I19" s="38" t="n">
        <f aca="false">IF($A19="","",_xlfn.xlookup(--LEFT($A19,FIND("-",$A19&amp;"-")-1),LabSys!$A:$A,LabSys!$B:$B,""))</f>
        <v>268</v>
      </c>
      <c r="J19" s="38" t="n">
        <f aca="false">IF($A19="","",_xlfn.xlookup(--LEFT($A19,FIND("-",$A19&amp;"-")-1),LabSys!$A:$A,LabSys!$C:$C,""))</f>
        <v>13.982</v>
      </c>
      <c r="K19" s="38" t="n">
        <f aca="false">IF($A19="","",_xlfn.xlookup(--LEFT($A19,FIND("-",$A19&amp;"-")-1),LabSys!$A:$A,LabSys!$F:$F,""))</f>
        <v>15</v>
      </c>
      <c r="L19" s="38" t="n">
        <f aca="false">IF($A19="","",_xlfn.xlookup(--LEFT($A19,FIND("-",$A19&amp;"-")-1),LabSys!$A:$A,LabSys!$G:$G,""))</f>
        <v>0.738</v>
      </c>
      <c r="M19" s="39" t="n">
        <v>31.0721931220204</v>
      </c>
      <c r="N19" s="39" t="n">
        <v>0.17962778219104</v>
      </c>
      <c r="O19" s="39" t="n">
        <v>469.879906865361</v>
      </c>
      <c r="P19" s="39" t="n">
        <v>1.30562513055227</v>
      </c>
      <c r="Q19" s="39" t="n">
        <v>26.1049078779245</v>
      </c>
      <c r="R19" s="39" t="n">
        <v>0.10862677280074</v>
      </c>
    </row>
    <row r="20" customFormat="false" ht="15" hidden="false" customHeight="false" outlineLevel="0" collapsed="false">
      <c r="A20" s="12" t="s">
        <v>84</v>
      </c>
      <c r="B20" s="5" t="s">
        <v>85</v>
      </c>
      <c r="C20" s="13" t="s">
        <v>86</v>
      </c>
      <c r="D20" s="14" t="n">
        <v>1</v>
      </c>
      <c r="E20" s="15" t="n">
        <v>1.849</v>
      </c>
      <c r="F20" s="16" t="n">
        <v>45672</v>
      </c>
      <c r="G20" s="38" t="n">
        <f aca="false">IF($A20="","",_xlfn.xlookup(--LEFT($A20,FIND("-",$A20&amp;"-")-1),LabSys!$A:$A,LabSys!$D:$D,""))</f>
        <v>26.9</v>
      </c>
      <c r="H20" s="38" t="n">
        <f aca="false">IF($A20="","",_xlfn.xlookup(--LEFT($A20,FIND("-",$A20&amp;"-")-1),LabSys!$A:$A,LabSys!$E:$E,""))</f>
        <v>3.153</v>
      </c>
      <c r="I20" s="38" t="n">
        <f aca="false">IF($A20="","",_xlfn.xlookup(--LEFT($A20,FIND("-",$A20&amp;"-")-1),LabSys!$A:$A,LabSys!$B:$B,""))</f>
        <v>832</v>
      </c>
      <c r="J20" s="38" t="n">
        <f aca="false">IF($A20="","",_xlfn.xlookup(--LEFT($A20,FIND("-",$A20&amp;"-")-1),LabSys!$A:$A,LabSys!$C:$C,""))</f>
        <v>42.132</v>
      </c>
      <c r="K20" s="38" t="n">
        <f aca="false">IF($A20="","",_xlfn.xlookup(--LEFT($A20,FIND("-",$A20&amp;"-")-1),LabSys!$A:$A,LabSys!$F:$F,""))</f>
        <v>126</v>
      </c>
      <c r="L20" s="38" t="n">
        <f aca="false">IF($A20="","",_xlfn.xlookup(--LEFT($A20,FIND("-",$A20&amp;"-")-1),LabSys!$A:$A,LabSys!$G:$G,""))</f>
        <v>5.184</v>
      </c>
      <c r="M20" s="39" t="n">
        <v>49.4870660112083</v>
      </c>
      <c r="N20" s="39" t="n">
        <v>0.788647581367886</v>
      </c>
      <c r="O20" s="39" t="n">
        <v>1548.93416077456</v>
      </c>
      <c r="P20" s="39" t="n">
        <v>4.23257446377946</v>
      </c>
      <c r="Q20" s="39" t="n">
        <v>227.455943108053</v>
      </c>
      <c r="R20" s="39" t="n">
        <v>0.47692088938665</v>
      </c>
    </row>
    <row r="21" customFormat="false" ht="15" hidden="false" customHeight="false" outlineLevel="0" collapsed="false">
      <c r="A21" s="12" t="s">
        <v>87</v>
      </c>
      <c r="B21" s="5" t="s">
        <v>88</v>
      </c>
      <c r="C21" s="13" t="s">
        <v>89</v>
      </c>
      <c r="D21" s="14" t="n">
        <v>1</v>
      </c>
      <c r="E21" s="15" t="n">
        <v>0.857</v>
      </c>
      <c r="F21" s="16" t="n">
        <v>45681</v>
      </c>
      <c r="G21" s="38" t="n">
        <f aca="false">IF($A21="","",_xlfn.xlookup(--LEFT($A21,FIND("-",$A21&amp;"-")-1),LabSys!$A:$A,LabSys!$D:$D,""))</f>
        <v>53.2</v>
      </c>
      <c r="H21" s="38" t="n">
        <f aca="false">IF($A21="","",_xlfn.xlookup(--LEFT($A21,FIND("-",$A21&amp;"-")-1),LabSys!$A:$A,LabSys!$E:$E,""))</f>
        <v>4.593</v>
      </c>
      <c r="I21" s="38" t="n">
        <f aca="false">IF($A21="","",_xlfn.xlookup(--LEFT($A21,FIND("-",$A21&amp;"-")-1),LabSys!$A:$A,LabSys!$B:$B,""))</f>
        <v>284</v>
      </c>
      <c r="J21" s="38" t="n">
        <f aca="false">IF($A21="","",_xlfn.xlookup(--LEFT($A21,FIND("-",$A21&amp;"-")-1),LabSys!$A:$A,LabSys!$C:$C,""))</f>
        <v>15.353</v>
      </c>
      <c r="K21" s="38" t="n">
        <f aca="false">IF($A21="","",_xlfn.xlookup(--LEFT($A21,FIND("-",$A21&amp;"-")-1),LabSys!$A:$A,LabSys!$F:$F,""))</f>
        <v>55.6</v>
      </c>
      <c r="L21" s="38" t="n">
        <f aca="false">IF($A21="","",_xlfn.xlookup(--LEFT($A21,FIND("-",$A21&amp;"-")-1),LabSys!$A:$A,LabSys!$G:$G,""))</f>
        <v>2.496</v>
      </c>
      <c r="M21" s="39" t="n">
        <v>60.7057451594328</v>
      </c>
      <c r="N21" s="39" t="n">
        <v>0.143613693912032</v>
      </c>
      <c r="O21" s="39" t="n">
        <v>265.010134259491</v>
      </c>
      <c r="P21" s="39" t="n">
        <v>1.35047697862478</v>
      </c>
      <c r="Q21" s="39" t="n">
        <v>50.5864768004034</v>
      </c>
      <c r="R21" s="39" t="n">
        <v>0.0868478801517789</v>
      </c>
    </row>
    <row r="22" customFormat="false" ht="15" hidden="false" customHeight="false" outlineLevel="0" collapsed="false">
      <c r="A22" s="12" t="s">
        <v>90</v>
      </c>
      <c r="B22" s="5" t="s">
        <v>91</v>
      </c>
      <c r="C22" s="13" t="s">
        <v>92</v>
      </c>
      <c r="D22" s="14" t="n">
        <v>1</v>
      </c>
      <c r="E22" s="15" t="n">
        <v>0.987</v>
      </c>
      <c r="F22" s="16" t="n">
        <v>45642</v>
      </c>
      <c r="G22" s="38" t="n">
        <f aca="false">IF($A22="","",_xlfn.xlookup(--LEFT($A22,FIND("-",$A22&amp;"-")-1),LabSys!$A:$A,LabSys!$D:$D,""))</f>
        <v>86.8</v>
      </c>
      <c r="H22" s="38" t="n">
        <f aca="false">IF($A22="","",_xlfn.xlookup(--LEFT($A22,FIND("-",$A22&amp;"-")-1),LabSys!$A:$A,LabSys!$E:$E,""))</f>
        <v>5.969</v>
      </c>
      <c r="I22" s="38" t="n">
        <f aca="false">IF($A22="","",_xlfn.xlookup(--LEFT($A22,FIND("-",$A22&amp;"-")-1),LabSys!$A:$A,LabSys!$B:$B,""))</f>
        <v>261</v>
      </c>
      <c r="J22" s="38" t="n">
        <f aca="false">IF($A22="","",_xlfn.xlookup(--LEFT($A22,FIND("-",$A22&amp;"-")-1),LabSys!$A:$A,LabSys!$C:$C,""))</f>
        <v>14.113</v>
      </c>
      <c r="K22" s="38" t="n">
        <f aca="false">IF($A22="","",_xlfn.xlookup(--LEFT($A22,FIND("-",$A22&amp;"-")-1),LabSys!$A:$A,LabSys!$F:$F,""))</f>
        <v>78.2</v>
      </c>
      <c r="L22" s="38" t="n">
        <f aca="false">IF($A22="","",_xlfn.xlookup(--LEFT($A22,FIND("-",$A22&amp;"-")-1),LabSys!$A:$A,LabSys!$G:$G,""))</f>
        <v>3.406</v>
      </c>
      <c r="M22" s="39" t="n">
        <v>87.8631695045697</v>
      </c>
      <c r="N22" s="39" t="n">
        <v>0.217880652152918</v>
      </c>
      <c r="O22" s="39" t="n">
        <v>279.733353387252</v>
      </c>
      <c r="P22" s="39" t="n">
        <v>1.96121373067033</v>
      </c>
      <c r="Q22" s="39" t="n">
        <v>76.5538540587602</v>
      </c>
      <c r="R22" s="39" t="n">
        <v>0.131759529680775</v>
      </c>
    </row>
    <row r="23" customFormat="false" ht="15" hidden="false" customHeight="false" outlineLevel="0" collapsed="false">
      <c r="A23" s="12" t="s">
        <v>98</v>
      </c>
      <c r="B23" s="5" t="s">
        <v>99</v>
      </c>
      <c r="C23" s="13" t="s">
        <v>100</v>
      </c>
      <c r="D23" s="14" t="n">
        <v>1</v>
      </c>
      <c r="E23" s="15" t="n">
        <v>1.295</v>
      </c>
      <c r="F23" s="16" t="n">
        <v>45716</v>
      </c>
      <c r="G23" s="38" t="n">
        <f aca="false">IF($A23="","",_xlfn.xlookup(--LEFT($A23,FIND("-",$A23&amp;"-")-1),LabSys!$A:$A,LabSys!$D:$D,""))</f>
        <v>28.8</v>
      </c>
      <c r="H23" s="38" t="n">
        <f aca="false">IF($A23="","",_xlfn.xlookup(--LEFT($A23,FIND("-",$A23&amp;"-")-1),LabSys!$A:$A,LabSys!$E:$E,""))</f>
        <v>2.26</v>
      </c>
      <c r="I23" s="38" t="n">
        <f aca="false">IF($A23="","",_xlfn.xlookup(--LEFT($A23,FIND("-",$A23&amp;"-")-1),LabSys!$A:$A,LabSys!$B:$B,""))</f>
        <v>367</v>
      </c>
      <c r="J23" s="38" t="n">
        <f aca="false">IF($A23="","",_xlfn.xlookup(--LEFT($A23,FIND("-",$A23&amp;"-")-1),LabSys!$A:$A,LabSys!$C:$C,""))</f>
        <v>22</v>
      </c>
      <c r="K23" s="38" t="n">
        <f aca="false">IF($A23="","",_xlfn.xlookup(--LEFT($A23,FIND("-",$A23&amp;"-")-1),LabSys!$A:$A,LabSys!$F:$F,""))</f>
        <v>21.2</v>
      </c>
      <c r="L23" s="38" t="n">
        <f aca="false">IF($A23="","",_xlfn.xlookup(--LEFT($A23,FIND("-",$A23&amp;"-")-1),LabSys!$A:$A,LabSys!$G:$G,""))</f>
        <v>1.27</v>
      </c>
      <c r="M23" s="39" t="n">
        <v>34.7816777468546</v>
      </c>
      <c r="N23" s="39" t="n">
        <v>0.126494239064283</v>
      </c>
      <c r="O23" s="39" t="n">
        <v>487.630255414799</v>
      </c>
      <c r="P23" s="39" t="n">
        <v>1.40112497326803</v>
      </c>
      <c r="Q23" s="39" t="n">
        <v>26.5696532676977</v>
      </c>
      <c r="R23" s="39" t="n">
        <v>0.0764951879928277</v>
      </c>
    </row>
    <row r="24" customFormat="false" ht="15" hidden="false" customHeight="false" outlineLevel="0" collapsed="false">
      <c r="A24" s="12" t="s">
        <v>102</v>
      </c>
      <c r="B24" s="5" t="s">
        <v>63</v>
      </c>
      <c r="C24" s="13" t="s">
        <v>103</v>
      </c>
      <c r="D24" s="14" t="n">
        <v>1</v>
      </c>
      <c r="E24" s="15" t="n">
        <v>1.342</v>
      </c>
      <c r="F24" s="16" t="n">
        <v>45687</v>
      </c>
      <c r="G24" s="38" t="n">
        <f aca="false">IF($A24="","",_xlfn.xlookup(--LEFT($A24,FIND("-",$A24&amp;"-")-1),LabSys!$A:$A,LabSys!$D:$D,""))</f>
        <v>29.9</v>
      </c>
      <c r="H24" s="38" t="n">
        <f aca="false">IF($A24="","",_xlfn.xlookup(--LEFT($A24,FIND("-",$A24&amp;"-")-1),LabSys!$A:$A,LabSys!$E:$E,""))</f>
        <v>2.925</v>
      </c>
      <c r="I24" s="38" t="n">
        <f aca="false">IF($A24="","",_xlfn.xlookup(--LEFT($A24,FIND("-",$A24&amp;"-")-1),LabSys!$A:$A,LabSys!$B:$B,""))</f>
        <v>489</v>
      </c>
      <c r="J24" s="38" t="n">
        <f aca="false">IF($A24="","",_xlfn.xlookup(--LEFT($A24,FIND("-",$A24&amp;"-")-1),LabSys!$A:$A,LabSys!$C:$C,""))</f>
        <v>25.082</v>
      </c>
      <c r="K24" s="38" t="n">
        <f aca="false">IF($A24="","",_xlfn.xlookup(--LEFT($A24,FIND("-",$A24&amp;"-")-1),LabSys!$A:$A,LabSys!$F:$F,""))</f>
        <v>32.1</v>
      </c>
      <c r="L24" s="38" t="n">
        <f aca="false">IF($A24="","",_xlfn.xlookup(--LEFT($A24,FIND("-",$A24&amp;"-")-1),LabSys!$A:$A,LabSys!$G:$G,""))</f>
        <v>1.444</v>
      </c>
      <c r="M24" s="39" t="n">
        <v>50.3106331806012</v>
      </c>
      <c r="N24" s="39" t="n">
        <v>0.155765062397814</v>
      </c>
      <c r="O24" s="39" t="n">
        <v>671.475093827537</v>
      </c>
      <c r="P24" s="39" t="n">
        <v>1.81099474152354</v>
      </c>
      <c r="Q24" s="39" t="n">
        <v>43.9787633057236</v>
      </c>
      <c r="R24" s="39" t="n">
        <v>0.0941962086097858</v>
      </c>
    </row>
    <row r="25" customFormat="false" ht="15" hidden="false" customHeight="false" outlineLevel="0" collapsed="false">
      <c r="A25" s="12" t="s">
        <v>105</v>
      </c>
      <c r="B25" s="5" t="s">
        <v>106</v>
      </c>
      <c r="C25" s="13" t="s">
        <v>107</v>
      </c>
      <c r="D25" s="14" t="n">
        <v>1</v>
      </c>
      <c r="E25" s="15" t="n">
        <v>1.454</v>
      </c>
      <c r="F25" s="16" t="n">
        <v>45687</v>
      </c>
      <c r="G25" s="38" t="n">
        <f aca="false">IF($A25="","",_xlfn.xlookup(--LEFT($A25,FIND("-",$A25&amp;"-")-1),LabSys!$A:$A,LabSys!$D:$D,""))</f>
        <v>52.3</v>
      </c>
      <c r="H25" s="38" t="n">
        <f aca="false">IF($A25="","",_xlfn.xlookup(--LEFT($A25,FIND("-",$A25&amp;"-")-1),LabSys!$A:$A,LabSys!$E:$E,""))</f>
        <v>5.568</v>
      </c>
      <c r="I25" s="38" t="n">
        <f aca="false">IF($A25="","",_xlfn.xlookup(--LEFT($A25,FIND("-",$A25&amp;"-")-1),LabSys!$A:$A,LabSys!$B:$B,""))</f>
        <v>588</v>
      </c>
      <c r="J25" s="38" t="n">
        <f aca="false">IF($A25="","",_xlfn.xlookup(--LEFT($A25,FIND("-",$A25&amp;"-")-1),LabSys!$A:$A,LabSys!$C:$C,""))</f>
        <v>33.102</v>
      </c>
      <c r="K25" s="38" t="n">
        <f aca="false">IF($A25="","",_xlfn.xlookup(--LEFT($A25,FIND("-",$A25&amp;"-")-1),LabSys!$A:$A,LabSys!$F:$F,""))</f>
        <v>48</v>
      </c>
      <c r="L25" s="38" t="n">
        <f aca="false">IF($A25="","",_xlfn.xlookup(--LEFT($A25,FIND("-",$A25&amp;"-")-1),LabSys!$A:$A,LabSys!$G:$G,""))</f>
        <v>2.363</v>
      </c>
      <c r="M25" s="39" t="n">
        <v>77.7910244177975</v>
      </c>
      <c r="N25" s="39" t="n">
        <v>0.28364775314063</v>
      </c>
      <c r="O25" s="39" t="n">
        <v>860.17047710303</v>
      </c>
      <c r="P25" s="39" t="n">
        <v>2.46927549455527</v>
      </c>
      <c r="Q25" s="39" t="n">
        <v>66.7288255653379</v>
      </c>
      <c r="R25" s="39" t="n">
        <v>0.171531038573299</v>
      </c>
    </row>
    <row r="26" customFormat="false" ht="15" hidden="false" customHeight="false" outlineLevel="0" collapsed="false">
      <c r="A26" s="12" t="s">
        <v>109</v>
      </c>
      <c r="B26" s="5" t="s">
        <v>106</v>
      </c>
      <c r="C26" s="13" t="s">
        <v>110</v>
      </c>
      <c r="D26" s="14" t="n">
        <v>1</v>
      </c>
      <c r="E26" s="15" t="n">
        <v>1.307</v>
      </c>
      <c r="F26" s="16" t="n">
        <v>45687</v>
      </c>
      <c r="G26" s="38" t="n">
        <f aca="false">IF($A26="","",_xlfn.xlookup(--LEFT($A26,FIND("-",$A26&amp;"-")-1),LabSys!$A:$A,LabSys!$D:$D,""))</f>
        <v>39.2</v>
      </c>
      <c r="H26" s="38" t="n">
        <f aca="false">IF($A26="","",_xlfn.xlookup(--LEFT($A26,FIND("-",$A26&amp;"-")-1),LabSys!$A:$A,LabSys!$E:$E,""))</f>
        <v>2.79</v>
      </c>
      <c r="I26" s="38" t="n">
        <f aca="false">IF($A26="","",_xlfn.xlookup(--LEFT($A26,FIND("-",$A26&amp;"-")-1),LabSys!$A:$A,LabSys!$B:$B,""))</f>
        <v>542</v>
      </c>
      <c r="J26" s="38" t="n">
        <f aca="false">IF($A26="","",_xlfn.xlookup(--LEFT($A26,FIND("-",$A26&amp;"-")-1),LabSys!$A:$A,LabSys!$C:$C,""))</f>
        <v>27.616</v>
      </c>
      <c r="K26" s="38" t="n">
        <f aca="false">IF($A26="","",_xlfn.xlookup(--LEFT($A26,FIND("-",$A26&amp;"-")-1),LabSys!$A:$A,LabSys!$F:$F,""))</f>
        <v>41.8</v>
      </c>
      <c r="L26" s="38" t="n">
        <f aca="false">IF($A26="","",_xlfn.xlookup(--LEFT($A26,FIND("-",$A26&amp;"-")-1),LabSys!$A:$A,LabSys!$G:$G,""))</f>
        <v>1.882</v>
      </c>
      <c r="M26" s="39" t="n">
        <v>61.6900813477437</v>
      </c>
      <c r="N26" s="39" t="n">
        <v>0.168616788471208</v>
      </c>
      <c r="O26" s="39" t="n">
        <v>750.506519655277</v>
      </c>
      <c r="P26" s="39" t="n">
        <v>1.67996974550507</v>
      </c>
      <c r="Q26" s="39" t="n">
        <v>55.7795750739541</v>
      </c>
      <c r="R26" s="39" t="n">
        <v>0.101968066121154</v>
      </c>
    </row>
    <row r="27" customFormat="false" ht="15" hidden="false" customHeight="false" outlineLevel="0" collapsed="false">
      <c r="A27" s="12" t="s">
        <v>112</v>
      </c>
      <c r="B27" s="5" t="s">
        <v>106</v>
      </c>
      <c r="C27" s="13" t="s">
        <v>113</v>
      </c>
      <c r="D27" s="14" t="n">
        <v>1</v>
      </c>
      <c r="E27" s="15" t="n">
        <v>1.507</v>
      </c>
      <c r="F27" s="16" t="n">
        <v>45687</v>
      </c>
      <c r="G27" s="38" t="n">
        <f aca="false">IF($A27="","",_xlfn.xlookup(--LEFT($A27,FIND("-",$A27&amp;"-")-1),LabSys!$A:$A,LabSys!$D:$D,""))</f>
        <v>44.8</v>
      </c>
      <c r="H27" s="38" t="n">
        <f aca="false">IF($A27="","",_xlfn.xlookup(--LEFT($A27,FIND("-",$A27&amp;"-")-1),LabSys!$A:$A,LabSys!$E:$E,""))</f>
        <v>4.089</v>
      </c>
      <c r="I27" s="38" t="n">
        <f aca="false">IF($A27="","",_xlfn.xlookup(--LEFT($A27,FIND("-",$A27&amp;"-")-1),LabSys!$A:$A,LabSys!$B:$B,""))</f>
        <v>661</v>
      </c>
      <c r="J27" s="38" t="n">
        <f aca="false">IF($A27="","",_xlfn.xlookup(--LEFT($A27,FIND("-",$A27&amp;"-")-1),LabSys!$A:$A,LabSys!$C:$C,""))</f>
        <v>33.779</v>
      </c>
      <c r="K27" s="38" t="n">
        <f aca="false">IF($A27="","",_xlfn.xlookup(--LEFT($A27,FIND("-",$A27&amp;"-")-1),LabSys!$A:$A,LabSys!$F:$F,""))</f>
        <v>60.9</v>
      </c>
      <c r="L27" s="38" t="n">
        <f aca="false">IF($A27="","",_xlfn.xlookup(--LEFT($A27,FIND("-",$A27&amp;"-")-1),LabSys!$A:$A,LabSys!$G:$G,""))</f>
        <v>2.704</v>
      </c>
      <c r="M27" s="39" t="n">
        <v>74.73457376438</v>
      </c>
      <c r="N27" s="39" t="n">
        <v>0.365959224638421</v>
      </c>
      <c r="O27" s="39" t="n">
        <v>1043.18199548255</v>
      </c>
      <c r="P27" s="39" t="n">
        <v>2.80919347789987</v>
      </c>
      <c r="Q27" s="39" t="n">
        <v>91.2828441862702</v>
      </c>
      <c r="R27" s="39" t="n">
        <v>0.2213074673875</v>
      </c>
    </row>
    <row r="28" customFormat="false" ht="15" hidden="false" customHeight="false" outlineLevel="0" collapsed="false">
      <c r="A28" s="12" t="s">
        <v>115</v>
      </c>
      <c r="B28" s="5" t="s">
        <v>63</v>
      </c>
      <c r="C28" s="13" t="s">
        <v>116</v>
      </c>
      <c r="D28" s="14" t="n">
        <v>1</v>
      </c>
      <c r="E28" s="15" t="n">
        <v>1.239</v>
      </c>
      <c r="F28" s="16" t="n">
        <v>45687</v>
      </c>
      <c r="G28" s="38" t="n">
        <f aca="false">IF($A28="","",_xlfn.xlookup(--LEFT($A28,FIND("-",$A28&amp;"-")-1),LabSys!$A:$A,LabSys!$D:$D,""))</f>
        <v>36.5</v>
      </c>
      <c r="H28" s="38" t="n">
        <f aca="false">IF($A28="","",_xlfn.xlookup(--LEFT($A28,FIND("-",$A28&amp;"-")-1),LabSys!$A:$A,LabSys!$E:$E,""))</f>
        <v>3.558</v>
      </c>
      <c r="I28" s="38" t="n">
        <f aca="false">IF($A28="","",_xlfn.xlookup(--LEFT($A28,FIND("-",$A28&amp;"-")-1),LabSys!$A:$A,LabSys!$B:$B,""))</f>
        <v>556</v>
      </c>
      <c r="J28" s="38" t="n">
        <f aca="false">IF($A28="","",_xlfn.xlookup(--LEFT($A28,FIND("-",$A28&amp;"-")-1),LabSys!$A:$A,LabSys!$C:$C,""))</f>
        <v>28.33</v>
      </c>
      <c r="K28" s="38" t="n">
        <f aca="false">IF($A28="","",_xlfn.xlookup(--LEFT($A28,FIND("-",$A28&amp;"-")-1),LabSys!$A:$A,LabSys!$F:$F,""))</f>
        <v>38.1</v>
      </c>
      <c r="L28" s="38" t="n">
        <f aca="false">IF($A28="","",_xlfn.xlookup(--LEFT($A28,FIND("-",$A28&amp;"-")-1),LabSys!$A:$A,LabSys!$G:$G,""))</f>
        <v>1.571</v>
      </c>
      <c r="M28" s="39" t="n">
        <v>51.691494686331</v>
      </c>
      <c r="N28" s="39" t="n">
        <v>0.181490609767653</v>
      </c>
      <c r="O28" s="39" t="n">
        <v>748.276527900143</v>
      </c>
      <c r="P28" s="39" t="n">
        <v>2.52078609657808</v>
      </c>
      <c r="Q28" s="39" t="n">
        <v>46.6093591635551</v>
      </c>
      <c r="R28" s="39" t="n">
        <v>0.109753285333842</v>
      </c>
    </row>
    <row r="29" customFormat="false" ht="15" hidden="false" customHeight="false" outlineLevel="0" collapsed="false">
      <c r="A29" s="12" t="s">
        <v>118</v>
      </c>
      <c r="B29" s="5" t="s">
        <v>63</v>
      </c>
      <c r="C29" s="13" t="s">
        <v>119</v>
      </c>
      <c r="D29" s="14" t="n">
        <v>1</v>
      </c>
      <c r="E29" s="15" t="n">
        <v>1.298</v>
      </c>
      <c r="F29" s="16" t="n">
        <v>45687</v>
      </c>
      <c r="G29" s="38" t="n">
        <f aca="false">IF($A29="","",_xlfn.xlookup(--LEFT($A29,FIND("-",$A29&amp;"-")-1),LabSys!$A:$A,LabSys!$D:$D,""))</f>
        <v>39.3</v>
      </c>
      <c r="H29" s="38" t="n">
        <f aca="false">IF($A29="","",_xlfn.xlookup(--LEFT($A29,FIND("-",$A29&amp;"-")-1),LabSys!$A:$A,LabSys!$E:$E,""))</f>
        <v>3.903</v>
      </c>
      <c r="I29" s="38" t="n">
        <f aca="false">IF($A29="","",_xlfn.xlookup(--LEFT($A29,FIND("-",$A29&amp;"-")-1),LabSys!$A:$A,LabSys!$B:$B,""))</f>
        <v>329</v>
      </c>
      <c r="J29" s="38" t="n">
        <f aca="false">IF($A29="","",_xlfn.xlookup(--LEFT($A29,FIND("-",$A29&amp;"-")-1),LabSys!$A:$A,LabSys!$C:$C,""))</f>
        <v>17.615</v>
      </c>
      <c r="K29" s="38" t="n">
        <f aca="false">IF($A29="","",_xlfn.xlookup(--LEFT($A29,FIND("-",$A29&amp;"-")-1),LabSys!$A:$A,LabSys!$F:$F,""))</f>
        <v>38.2</v>
      </c>
      <c r="L29" s="38" t="n">
        <f aca="false">IF($A29="","",_xlfn.xlookup(--LEFT($A29,FIND("-",$A29&amp;"-")-1),LabSys!$A:$A,LabSys!$G:$G,""))</f>
        <v>1.777</v>
      </c>
      <c r="M29" s="39" t="n">
        <v>54.7831322509816</v>
      </c>
      <c r="N29" s="39" t="n">
        <v>0.164230890646174</v>
      </c>
      <c r="O29" s="39" t="n">
        <v>453.791471536448</v>
      </c>
      <c r="P29" s="39" t="n">
        <v>1.88999738335177</v>
      </c>
      <c r="Q29" s="39" t="n">
        <v>50.3122407893272</v>
      </c>
      <c r="R29" s="39" t="n">
        <v>0.0993157707982596</v>
      </c>
    </row>
    <row r="30" customFormat="false" ht="15" hidden="false" customHeight="false" outlineLevel="0" collapsed="false">
      <c r="A30" s="12" t="s">
        <v>121</v>
      </c>
      <c r="B30" s="5" t="s">
        <v>63</v>
      </c>
      <c r="C30" s="13" t="s">
        <v>122</v>
      </c>
      <c r="D30" s="14" t="n">
        <v>1</v>
      </c>
      <c r="E30" s="20" t="n">
        <v>1.23</v>
      </c>
      <c r="F30" s="16" t="n">
        <v>45687</v>
      </c>
      <c r="G30" s="38" t="n">
        <f aca="false">IF($A30="","",_xlfn.xlookup(--LEFT($A30,FIND("-",$A30&amp;"-")-1),LabSys!$A:$A,LabSys!$D:$D,""))</f>
        <v>30.5</v>
      </c>
      <c r="H30" s="38" t="n">
        <f aca="false">IF($A30="","",_xlfn.xlookup(--LEFT($A30,FIND("-",$A30&amp;"-")-1),LabSys!$A:$A,LabSys!$E:$E,""))</f>
        <v>4.255</v>
      </c>
      <c r="I30" s="38" t="n">
        <f aca="false">IF($A30="","",_xlfn.xlookup(--LEFT($A30,FIND("-",$A30&amp;"-")-1),LabSys!$A:$A,LabSys!$B:$B,""))</f>
        <v>297</v>
      </c>
      <c r="J30" s="38" t="n">
        <f aca="false">IF($A30="","",_xlfn.xlookup(--LEFT($A30,FIND("-",$A30&amp;"-")-1),LabSys!$A:$A,LabSys!$C:$C,""))</f>
        <v>19.207</v>
      </c>
      <c r="K30" s="38" t="n">
        <f aca="false">IF($A30="","",_xlfn.xlookup(--LEFT($A30,FIND("-",$A30&amp;"-")-1),LabSys!$A:$A,LabSys!$F:$F,""))</f>
        <v>29.8</v>
      </c>
      <c r="L30" s="38" t="n">
        <f aca="false">IF($A30="","",_xlfn.xlookup(--LEFT($A30,FIND("-",$A30&amp;"-")-1),LabSys!$A:$A,LabSys!$G:$G,""))</f>
        <v>1.599</v>
      </c>
      <c r="M30" s="39" t="n">
        <v>41.2334495196338</v>
      </c>
      <c r="N30" s="39" t="n">
        <v>0.116885544646681</v>
      </c>
      <c r="O30" s="39" t="n">
        <v>378.553549806007</v>
      </c>
      <c r="P30" s="39" t="n">
        <v>1.306710709262</v>
      </c>
      <c r="Q30" s="39" t="n">
        <v>36.5517946790389</v>
      </c>
      <c r="R30" s="39" t="n">
        <v>0.0706844973931824</v>
      </c>
    </row>
    <row r="31" customFormat="false" ht="15" hidden="false" customHeight="false" outlineLevel="0" collapsed="false">
      <c r="A31" s="12" t="s">
        <v>124</v>
      </c>
      <c r="B31" s="5" t="s">
        <v>63</v>
      </c>
      <c r="C31" s="13" t="s">
        <v>125</v>
      </c>
      <c r="D31" s="14" t="n">
        <v>1</v>
      </c>
      <c r="E31" s="15" t="n">
        <v>1.304</v>
      </c>
      <c r="F31" s="16" t="n">
        <v>45687</v>
      </c>
      <c r="G31" s="38" t="n">
        <f aca="false">IF($A31="","",_xlfn.xlookup(--LEFT($A31,FIND("-",$A31&amp;"-")-1),LabSys!$A:$A,LabSys!$D:$D,""))</f>
        <v>29.8</v>
      </c>
      <c r="H31" s="38" t="n">
        <f aca="false">IF($A31="","",_xlfn.xlookup(--LEFT($A31,FIND("-",$A31&amp;"-")-1),LabSys!$A:$A,LabSys!$E:$E,""))</f>
        <v>2.877</v>
      </c>
      <c r="I31" s="38" t="n">
        <f aca="false">IF($A31="","",_xlfn.xlookup(--LEFT($A31,FIND("-",$A31&amp;"-")-1),LabSys!$A:$A,LabSys!$B:$B,""))</f>
        <v>566</v>
      </c>
      <c r="J31" s="38" t="n">
        <f aca="false">IF($A31="","",_xlfn.xlookup(--LEFT($A31,FIND("-",$A31&amp;"-")-1),LabSys!$A:$A,LabSys!$C:$C,""))</f>
        <v>28.813</v>
      </c>
      <c r="K31" s="38" t="n">
        <f aca="false">IF($A31="","",_xlfn.xlookup(--LEFT($A31,FIND("-",$A31&amp;"-")-1),LabSys!$A:$A,LabSys!$F:$F,""))</f>
        <v>37.3</v>
      </c>
      <c r="L31" s="38" t="n">
        <f aca="false">IF($A31="","",_xlfn.xlookup(--LEFT($A31,FIND("-",$A31&amp;"-")-1),LabSys!$A:$A,LabSys!$G:$G,""))</f>
        <v>1.667</v>
      </c>
      <c r="M31" s="39" t="n">
        <v>54.1590783789392</v>
      </c>
      <c r="N31" s="39" t="n">
        <v>0.169609716993175</v>
      </c>
      <c r="O31" s="39" t="n">
        <v>816.827394298347</v>
      </c>
      <c r="P31" s="39" t="n">
        <v>1.96469070095321</v>
      </c>
      <c r="Q31" s="39" t="n">
        <v>49.4766558446176</v>
      </c>
      <c r="R31" s="39" t="n">
        <v>0.102568522351518</v>
      </c>
    </row>
    <row r="32" customFormat="false" ht="15" hidden="false" customHeight="false" outlineLevel="0" collapsed="false">
      <c r="A32" s="12" t="s">
        <v>127</v>
      </c>
      <c r="B32" s="5" t="s">
        <v>63</v>
      </c>
      <c r="C32" s="13" t="s">
        <v>128</v>
      </c>
      <c r="D32" s="14" t="n">
        <v>1</v>
      </c>
      <c r="E32" s="15" t="n">
        <v>1.313</v>
      </c>
      <c r="F32" s="16" t="n">
        <v>45687</v>
      </c>
      <c r="G32" s="38" t="n">
        <f aca="false">IF($A32="","",_xlfn.xlookup(--LEFT($A32,FIND("-",$A32&amp;"-")-1),LabSys!$A:$A,LabSys!$D:$D,""))</f>
        <v>31.5</v>
      </c>
      <c r="H32" s="38" t="n">
        <f aca="false">IF($A32="","",_xlfn.xlookup(--LEFT($A32,FIND("-",$A32&amp;"-")-1),LabSys!$A:$A,LabSys!$E:$E,""))</f>
        <v>3.915</v>
      </c>
      <c r="I32" s="38" t="n">
        <f aca="false">IF($A32="","",_xlfn.xlookup(--LEFT($A32,FIND("-",$A32&amp;"-")-1),LabSys!$A:$A,LabSys!$B:$B,""))</f>
        <v>482</v>
      </c>
      <c r="J32" s="38" t="n">
        <f aca="false">IF($A32="","",_xlfn.xlookup(--LEFT($A32,FIND("-",$A32&amp;"-")-1),LabSys!$A:$A,LabSys!$C:$C,""))</f>
        <v>25.292</v>
      </c>
      <c r="K32" s="38" t="n">
        <f aca="false">IF($A32="","",_xlfn.xlookup(--LEFT($A32,FIND("-",$A32&amp;"-")-1),LabSys!$A:$A,LabSys!$F:$F,""))</f>
        <v>35.3</v>
      </c>
      <c r="L32" s="38" t="n">
        <f aca="false">IF($A32="","",_xlfn.xlookup(--LEFT($A32,FIND("-",$A32&amp;"-")-1),LabSys!$A:$A,LabSys!$G:$G,""))</f>
        <v>1.688</v>
      </c>
      <c r="M32" s="39" t="n">
        <v>47.4829866484059</v>
      </c>
      <c r="N32" s="39" t="n">
        <v>0.152833533679839</v>
      </c>
      <c r="O32" s="39" t="n">
        <v>640.516440005395</v>
      </c>
      <c r="P32" s="39" t="n">
        <v>1.82157880972738</v>
      </c>
      <c r="Q32" s="39" t="n">
        <v>44.9110114603112</v>
      </c>
      <c r="R32" s="39" t="n">
        <v>0.0924234176744304</v>
      </c>
    </row>
    <row r="33" customFormat="false" ht="15" hidden="false" customHeight="false" outlineLevel="0" collapsed="false">
      <c r="A33" s="12" t="s">
        <v>130</v>
      </c>
      <c r="B33" s="5" t="s">
        <v>131</v>
      </c>
      <c r="C33" s="13" t="s">
        <v>132</v>
      </c>
      <c r="D33" s="14" t="n">
        <v>1</v>
      </c>
      <c r="E33" s="15" t="n">
        <v>1.719</v>
      </c>
      <c r="F33" s="16" t="n">
        <v>45636</v>
      </c>
      <c r="G33" s="38" t="n">
        <f aca="false">IF($A33="","",_xlfn.xlookup(--LEFT($A33,FIND("-",$A33&amp;"-")-1),LabSys!$A:$A,LabSys!$D:$D,""))</f>
        <v>14.8</v>
      </c>
      <c r="H33" s="38" t="n">
        <f aca="false">IF($A33="","",_xlfn.xlookup(--LEFT($A33,FIND("-",$A33&amp;"-")-1),LabSys!$A:$A,LabSys!$E:$E,""))</f>
        <v>1.226</v>
      </c>
      <c r="I33" s="38" t="n">
        <f aca="false">IF($A33="","",_xlfn.xlookup(--LEFT($A33,FIND("-",$A33&amp;"-")-1),LabSys!$A:$A,LabSys!$B:$B,""))</f>
        <v>307</v>
      </c>
      <c r="J33" s="38" t="n">
        <f aca="false">IF($A33="","",_xlfn.xlookup(--LEFT($A33,FIND("-",$A33&amp;"-")-1),LabSys!$A:$A,LabSys!$C:$C,""))</f>
        <v>15.69</v>
      </c>
      <c r="K33" s="38" t="n">
        <f aca="false">IF($A33="","",_xlfn.xlookup(--LEFT($A33,FIND("-",$A33&amp;"-")-1),LabSys!$A:$A,LabSys!$F:$F,""))</f>
        <v>14.8</v>
      </c>
      <c r="L33" s="38" t="n">
        <f aca="false">IF($A33="","",_xlfn.xlookup(--LEFT($A33,FIND("-",$A33&amp;"-")-1),LabSys!$A:$A,LabSys!$G:$G,""))</f>
        <v>0.69</v>
      </c>
      <c r="M33" s="39" t="n">
        <v>25.4595457432395</v>
      </c>
      <c r="N33" s="39" t="n">
        <v>0.159369319528068</v>
      </c>
      <c r="O33" s="39" t="n">
        <v>529.235564582357</v>
      </c>
      <c r="P33" s="39" t="n">
        <v>1.51428051143923</v>
      </c>
      <c r="Q33" s="39" t="n">
        <v>24.7333899701508</v>
      </c>
      <c r="R33" s="39" t="n">
        <v>0.0963758203359228</v>
      </c>
    </row>
    <row r="34" customFormat="false" ht="15" hidden="false" customHeight="false" outlineLevel="0" collapsed="false">
      <c r="A34" s="12" t="s">
        <v>134</v>
      </c>
      <c r="B34" s="5" t="s">
        <v>135</v>
      </c>
      <c r="C34" s="13" t="s">
        <v>136</v>
      </c>
      <c r="D34" s="14" t="n">
        <v>1</v>
      </c>
      <c r="E34" s="15" t="n">
        <v>1.662</v>
      </c>
      <c r="F34" s="16" t="n">
        <v>45642</v>
      </c>
      <c r="G34" s="38" t="n">
        <f aca="false">IF($A34="","",_xlfn.xlookup(--LEFT($A34,FIND("-",$A34&amp;"-")-1),LabSys!$A:$A,LabSys!$D:$D,""))</f>
        <v>40.3</v>
      </c>
      <c r="H34" s="38" t="n">
        <f aca="false">IF($A34="","",_xlfn.xlookup(--LEFT($A34,FIND("-",$A34&amp;"-")-1),LabSys!$A:$A,LabSys!$E:$E,""))</f>
        <v>3.427</v>
      </c>
      <c r="I34" s="38" t="n">
        <f aca="false">IF($A34="","",_xlfn.xlookup(--LEFT($A34,FIND("-",$A34&amp;"-")-1),LabSys!$A:$A,LabSys!$B:$B,""))</f>
        <v>903</v>
      </c>
      <c r="J34" s="38" t="n">
        <f aca="false">IF($A34="","",_xlfn.xlookup(--LEFT($A34,FIND("-",$A34&amp;"-")-1),LabSys!$A:$A,LabSys!$C:$C,""))</f>
        <v>45.554</v>
      </c>
      <c r="K34" s="38" t="n">
        <f aca="false">IF($A34="","",_xlfn.xlookup(--LEFT($A34,FIND("-",$A34&amp;"-")-1),LabSys!$A:$A,LabSys!$F:$F,""))</f>
        <v>48.7</v>
      </c>
      <c r="L34" s="38" t="n">
        <f aca="false">IF($A34="","",_xlfn.xlookup(--LEFT($A34,FIND("-",$A34&amp;"-")-1),LabSys!$A:$A,LabSys!$G:$G,""))</f>
        <v>2.157</v>
      </c>
      <c r="M34" s="39" t="n">
        <v>61.5209301534294</v>
      </c>
      <c r="N34" s="39" t="n">
        <v>0.410804185290964</v>
      </c>
      <c r="O34" s="39" t="n">
        <v>1528.82369889116</v>
      </c>
      <c r="P34" s="39" t="n">
        <v>3.64419882716809</v>
      </c>
      <c r="Q34" s="39" t="n">
        <v>80.0255082622311</v>
      </c>
      <c r="R34" s="39" t="n">
        <v>0.24842667630186</v>
      </c>
      <c r="T34" s="33"/>
      <c r="U34" s="33"/>
      <c r="V34" s="33"/>
      <c r="W34" s="33"/>
      <c r="X34" s="33"/>
      <c r="Y34" s="33"/>
    </row>
    <row r="35" customFormat="false" ht="15" hidden="false" customHeight="false" outlineLevel="0" collapsed="false">
      <c r="A35" s="12" t="s">
        <v>138</v>
      </c>
      <c r="B35" s="5" t="s">
        <v>139</v>
      </c>
      <c r="C35" s="13" t="s">
        <v>140</v>
      </c>
      <c r="D35" s="14" t="n">
        <v>1</v>
      </c>
      <c r="E35" s="20" t="n">
        <v>1.47</v>
      </c>
      <c r="F35" s="16" t="n">
        <v>45692</v>
      </c>
      <c r="G35" s="38" t="n">
        <f aca="false">IF($A35="","",_xlfn.xlookup(--LEFT($A35,FIND("-",$A35&amp;"-")-1),LabSys!$A:$A,LabSys!$D:$D,""))</f>
        <v>24.9</v>
      </c>
      <c r="H35" s="38" t="n">
        <f aca="false">IF($A35="","",_xlfn.xlookup(--LEFT($A35,FIND("-",$A35&amp;"-")-1),LabSys!$A:$A,LabSys!$E:$E,""))</f>
        <v>2.882</v>
      </c>
      <c r="I35" s="38" t="n">
        <f aca="false">IF($A35="","",_xlfn.xlookup(--LEFT($A35,FIND("-",$A35&amp;"-")-1),LabSys!$A:$A,LabSys!$B:$B,""))</f>
        <v>582</v>
      </c>
      <c r="J35" s="38" t="n">
        <f aca="false">IF($A35="","",_xlfn.xlookup(--LEFT($A35,FIND("-",$A35&amp;"-")-1),LabSys!$A:$A,LabSys!$C:$C,""))</f>
        <v>30.373</v>
      </c>
      <c r="K35" s="38" t="n">
        <f aca="false">IF($A35="","",_xlfn.xlookup(--LEFT($A35,FIND("-",$A35&amp;"-")-1),LabSys!$A:$A,LabSys!$F:$F,""))</f>
        <v>29.6</v>
      </c>
      <c r="L35" s="38" t="n">
        <f aca="false">IF($A35="","",_xlfn.xlookup(--LEFT($A35,FIND("-",$A35&amp;"-")-1),LabSys!$A:$A,LabSys!$G:$G,""))</f>
        <v>1.355</v>
      </c>
      <c r="M35" s="39" t="n">
        <v>40.4052866747183</v>
      </c>
      <c r="N35" s="39" t="n">
        <v>0.189895728618358</v>
      </c>
      <c r="O35" s="39" t="n">
        <v>884.571062441832</v>
      </c>
      <c r="P35" s="39" t="n">
        <v>1.7459157447844</v>
      </c>
      <c r="Q35" s="39" t="n">
        <v>42.9419830292427</v>
      </c>
      <c r="R35" s="39" t="n">
        <v>0.114836134571427</v>
      </c>
    </row>
    <row r="36" customFormat="false" ht="15" hidden="false" customHeight="false" outlineLevel="0" collapsed="false">
      <c r="A36" s="12" t="s">
        <v>142</v>
      </c>
      <c r="B36" s="5" t="s">
        <v>88</v>
      </c>
      <c r="C36" s="13" t="s">
        <v>143</v>
      </c>
      <c r="D36" s="14" t="n">
        <v>1</v>
      </c>
      <c r="E36" s="20" t="n">
        <v>0.81</v>
      </c>
      <c r="F36" s="16" t="n">
        <v>45709</v>
      </c>
      <c r="G36" s="38" t="n">
        <f aca="false">IF($A36="","",_xlfn.xlookup(--LEFT($A36,FIND("-",$A36&amp;"-")-1),LabSys!$A:$A,LabSys!$D:$D,""))</f>
        <v>66.7</v>
      </c>
      <c r="H36" s="38" t="n">
        <f aca="false">IF($A36="","",_xlfn.xlookup(--LEFT($A36,FIND("-",$A36&amp;"-")-1),LabSys!$A:$A,LabSys!$E:$E,""))</f>
        <v>5.174</v>
      </c>
      <c r="I36" s="38" t="n">
        <f aca="false">IF($A36="","",_xlfn.xlookup(--LEFT($A36,FIND("-",$A36&amp;"-")-1),LabSys!$A:$A,LabSys!$B:$B,""))</f>
        <v>317</v>
      </c>
      <c r="J36" s="38" t="n">
        <f aca="false">IF($A36="","",_xlfn.xlookup(--LEFT($A36,FIND("-",$A36&amp;"-")-1),LabSys!$A:$A,LabSys!$C:$C,""))</f>
        <v>17.082</v>
      </c>
      <c r="K36" s="38" t="n">
        <f aca="false">IF($A36="","",_xlfn.xlookup(--LEFT($A36,FIND("-",$A36&amp;"-")-1),LabSys!$A:$A,LabSys!$F:$F,""))</f>
        <v>62.1</v>
      </c>
      <c r="L36" s="38" t="n">
        <f aca="false">IF($A36="","",_xlfn.xlookup(--LEFT($A36,FIND("-",$A36&amp;"-")-1),LabSys!$A:$A,LabSys!$G:$G,""))</f>
        <v>2.727</v>
      </c>
      <c r="M36" s="39" t="n">
        <v>70.7798824761508</v>
      </c>
      <c r="N36" s="39" t="n">
        <v>0.182724394131326</v>
      </c>
      <c r="O36" s="39" t="n">
        <v>285.539458194434</v>
      </c>
      <c r="P36" s="39" t="n">
        <v>1.84206833506059</v>
      </c>
      <c r="Q36" s="39" t="n">
        <v>53.4136937827269</v>
      </c>
      <c r="R36" s="39" t="n">
        <v>0.110499394939623</v>
      </c>
    </row>
    <row r="37" customFormat="false" ht="15" hidden="false" customHeight="false" outlineLevel="0" collapsed="false">
      <c r="A37" s="12" t="s">
        <v>145</v>
      </c>
      <c r="B37" s="5" t="s">
        <v>146</v>
      </c>
      <c r="C37" s="13" t="s">
        <v>147</v>
      </c>
      <c r="D37" s="14" t="n">
        <v>1</v>
      </c>
      <c r="E37" s="15" t="n">
        <v>1.832</v>
      </c>
      <c r="F37" s="16" t="n">
        <v>45539</v>
      </c>
      <c r="G37" s="38" t="n">
        <f aca="false">IF($A37="","",_xlfn.xlookup(--LEFT($A37,FIND("-",$A37&amp;"-")-1),LabSys!$A:$A,LabSys!$D:$D,""))</f>
        <v>85.9</v>
      </c>
      <c r="H37" s="38" t="n">
        <f aca="false">IF($A37="","",_xlfn.xlookup(--LEFT($A37,FIND("-",$A37&amp;"-")-1),LabSys!$A:$A,LabSys!$E:$E,""))</f>
        <v>7.549</v>
      </c>
      <c r="I37" s="38" t="n">
        <f aca="false">IF($A37="","",_xlfn.xlookup(--LEFT($A37,FIND("-",$A37&amp;"-")-1),LabSys!$A:$A,LabSys!$B:$B,""))</f>
        <v>133</v>
      </c>
      <c r="J37" s="38" t="n">
        <f aca="false">IF($A37="","",_xlfn.xlookup(--LEFT($A37,FIND("-",$A37&amp;"-")-1),LabSys!$A:$A,LabSys!$C:$C,""))</f>
        <v>10.052</v>
      </c>
      <c r="K37" s="38" t="n">
        <f aca="false">IF($A37="","",_xlfn.xlookup(--LEFT($A37,FIND("-",$A37&amp;"-")-1),LabSys!$A:$A,LabSys!$F:$F,""))</f>
        <v>107</v>
      </c>
      <c r="L37" s="38" t="n">
        <f aca="false">IF($A37="","",_xlfn.xlookup(--LEFT($A37,FIND("-",$A37&amp;"-")-1),LabSys!$A:$A,LabSys!$G:$G,""))</f>
        <v>4.809</v>
      </c>
      <c r="M37" s="39" t="n">
        <v>187.307289486219</v>
      </c>
      <c r="N37" s="39" t="n">
        <v>0.986996308417836</v>
      </c>
      <c r="O37" s="39" t="n">
        <v>177.375868396917</v>
      </c>
      <c r="P37" s="39" t="n">
        <v>2.95109876302962</v>
      </c>
      <c r="Q37" s="39" t="n">
        <v>182.545735897504</v>
      </c>
      <c r="R37" s="39" t="n">
        <v>0.596868827538311</v>
      </c>
    </row>
    <row r="38" customFormat="false" ht="15" hidden="false" customHeight="false" outlineLevel="0" collapsed="false">
      <c r="A38" s="12" t="s">
        <v>149</v>
      </c>
      <c r="B38" s="5" t="s">
        <v>99</v>
      </c>
      <c r="C38" s="13" t="s">
        <v>150</v>
      </c>
      <c r="D38" s="14" t="n">
        <v>1</v>
      </c>
      <c r="E38" s="15" t="n">
        <v>1.501</v>
      </c>
      <c r="F38" s="16" t="n">
        <v>45729</v>
      </c>
      <c r="G38" s="38" t="n">
        <f aca="false">IF($A38="","",_xlfn.xlookup(--LEFT($A38,FIND("-",$A38&amp;"-")-1),LabSys!$A:$A,LabSys!$D:$D,""))</f>
        <v>39.2</v>
      </c>
      <c r="H38" s="38" t="n">
        <f aca="false">IF($A38="","",_xlfn.xlookup(--LEFT($A38,FIND("-",$A38&amp;"-")-1),LabSys!$A:$A,LabSys!$E:$E,""))</f>
        <v>3.571</v>
      </c>
      <c r="I38" s="38" t="n">
        <f aca="false">IF($A38="","",_xlfn.xlookup(--LEFT($A38,FIND("-",$A38&amp;"-")-1),LabSys!$A:$A,LabSys!$B:$B,""))</f>
        <v>242</v>
      </c>
      <c r="J38" s="38" t="n">
        <f aca="false">IF($A38="","",_xlfn.xlookup(--LEFT($A38,FIND("-",$A38&amp;"-")-1),LabSys!$A:$A,LabSys!$C:$C,""))</f>
        <v>13.258</v>
      </c>
      <c r="K38" s="38" t="n">
        <f aca="false">IF($A38="","",_xlfn.xlookup(--LEFT($A38,FIND("-",$A38&amp;"-")-1),LabSys!$A:$A,LabSys!$F:$F,""))</f>
        <v>64.2</v>
      </c>
      <c r="L38" s="38" t="n">
        <f aca="false">IF($A38="","",_xlfn.xlookup(--LEFT($A38,FIND("-",$A38&amp;"-")-1),LabSys!$A:$A,LabSys!$G:$G,""))</f>
        <v>2.82</v>
      </c>
      <c r="M38" s="39" t="n">
        <v>63.7460325504672</v>
      </c>
      <c r="N38" s="39" t="n">
        <v>0.323879100718664</v>
      </c>
      <c r="O38" s="39" t="n">
        <v>364.909570512931</v>
      </c>
      <c r="P38" s="39" t="n">
        <v>1.65009193641733</v>
      </c>
      <c r="Q38" s="39" t="n">
        <v>99.0579033571249</v>
      </c>
      <c r="R38" s="39" t="n">
        <v>0.195860245333637</v>
      </c>
    </row>
    <row r="39" customFormat="false" ht="15" hidden="false" customHeight="false" outlineLevel="0" collapsed="false">
      <c r="A39" s="12" t="s">
        <v>152</v>
      </c>
      <c r="B39" s="5" t="s">
        <v>88</v>
      </c>
      <c r="C39" s="13" t="s">
        <v>153</v>
      </c>
      <c r="D39" s="14" t="n">
        <v>1</v>
      </c>
      <c r="E39" s="15" t="n">
        <v>0.996</v>
      </c>
      <c r="F39" s="16" t="n">
        <v>45740</v>
      </c>
      <c r="G39" s="38" t="n">
        <f aca="false">IF($A39="","",_xlfn.xlookup(--LEFT($A39,FIND("-",$A39&amp;"-")-1),LabSys!$A:$A,LabSys!$D:$D,""))</f>
        <v>48.8</v>
      </c>
      <c r="H39" s="38" t="n">
        <f aca="false">IF($A39="","",_xlfn.xlookup(--LEFT($A39,FIND("-",$A39&amp;"-")-1),LabSys!$A:$A,LabSys!$E:$E,""))</f>
        <v>3.851</v>
      </c>
      <c r="I39" s="38" t="n">
        <f aca="false">IF($A39="","",_xlfn.xlookup(--LEFT($A39,FIND("-",$A39&amp;"-")-1),LabSys!$A:$A,LabSys!$B:$B,""))</f>
        <v>245</v>
      </c>
      <c r="J39" s="38" t="n">
        <f aca="false">IF($A39="","",_xlfn.xlookup(--LEFT($A39,FIND("-",$A39&amp;"-")-1),LabSys!$A:$A,LabSys!$C:$C,""))</f>
        <v>13.165</v>
      </c>
      <c r="K39" s="38" t="n">
        <f aca="false">IF($A39="","",_xlfn.xlookup(--LEFT($A39,FIND("-",$A39&amp;"-")-1),LabSys!$A:$A,LabSys!$F:$F,""))</f>
        <v>43.5</v>
      </c>
      <c r="L39" s="38" t="n">
        <f aca="false">IF($A39="","",_xlfn.xlookup(--LEFT($A39,FIND("-",$A39&amp;"-")-1),LabSys!$A:$A,LabSys!$G:$G,""))</f>
        <v>1.973</v>
      </c>
      <c r="M39" s="39" t="n">
        <v>59.4986938128987</v>
      </c>
      <c r="N39" s="39" t="n">
        <v>0.151075463527126</v>
      </c>
      <c r="O39" s="39" t="n">
        <v>265.166607108167</v>
      </c>
      <c r="P39" s="39" t="n">
        <v>1.67207438981731</v>
      </c>
      <c r="Q39" s="39" t="n">
        <v>40.9276857056302</v>
      </c>
      <c r="R39" s="39" t="n">
        <v>0.0913602553689278</v>
      </c>
    </row>
    <row r="40" customFormat="false" ht="15" hidden="false" customHeight="false" outlineLevel="0" collapsed="false">
      <c r="A40" s="12" t="s">
        <v>155</v>
      </c>
      <c r="B40" s="5" t="s">
        <v>156</v>
      </c>
      <c r="C40" s="13" t="s">
        <v>157</v>
      </c>
      <c r="D40" s="14" t="n">
        <v>1</v>
      </c>
      <c r="E40" s="15" t="n">
        <v>1.496</v>
      </c>
      <c r="F40" s="16" t="n">
        <v>45797</v>
      </c>
      <c r="G40" s="38" t="n">
        <f aca="false">IF($A40="","",_xlfn.xlookup(--LEFT($A40,FIND("-",$A40&amp;"-")-1),LabSys!$A:$A,LabSys!$D:$D,""))</f>
        <v>28.3</v>
      </c>
      <c r="H40" s="38" t="n">
        <f aca="false">IF($A40="","",_xlfn.xlookup(--LEFT($A40,FIND("-",$A40&amp;"-")-1),LabSys!$A:$A,LabSys!$E:$E,""))</f>
        <v>4.048</v>
      </c>
      <c r="I40" s="38" t="n">
        <f aca="false">IF($A40="","",_xlfn.xlookup(--LEFT($A40,FIND("-",$A40&amp;"-")-1),LabSys!$A:$A,LabSys!$B:$B,""))</f>
        <v>496</v>
      </c>
      <c r="J40" s="38" t="n">
        <f aca="false">IF($A40="","",_xlfn.xlookup(--LEFT($A40,FIND("-",$A40&amp;"-")-1),LabSys!$A:$A,LabSys!$C:$C,""))</f>
        <v>28.267</v>
      </c>
      <c r="K40" s="38" t="n">
        <f aca="false">IF($A40="","",_xlfn.xlookup(--LEFT($A40,FIND("-",$A40&amp;"-")-1),LabSys!$A:$A,LabSys!$F:$F,""))</f>
        <v>26</v>
      </c>
      <c r="L40" s="38" t="n">
        <f aca="false">IF($A40="","",_xlfn.xlookup(--LEFT($A40,FIND("-",$A40&amp;"-")-1),LabSys!$A:$A,LabSys!$G:$G,""))</f>
        <v>1.413</v>
      </c>
      <c r="M40" s="39" t="n">
        <v>38.5042995211067</v>
      </c>
      <c r="N40" s="39" t="n">
        <v>0.187517288414953</v>
      </c>
      <c r="O40" s="39" t="n">
        <v>800.231798695266</v>
      </c>
      <c r="P40" s="39" t="n">
        <v>1.95671976050622</v>
      </c>
      <c r="Q40" s="39" t="n">
        <v>38.4520974749645</v>
      </c>
      <c r="R40" s="39" t="n">
        <v>0.113397814282416</v>
      </c>
    </row>
    <row r="41" customFormat="false" ht="15" hidden="false" customHeight="false" outlineLevel="0" collapsed="false">
      <c r="A41" s="12" t="s">
        <v>159</v>
      </c>
      <c r="B41" s="5" t="s">
        <v>160</v>
      </c>
      <c r="C41" s="13" t="s">
        <v>161</v>
      </c>
      <c r="D41" s="14" t="n">
        <v>1</v>
      </c>
      <c r="E41" s="15" t="n">
        <v>1.694</v>
      </c>
      <c r="F41" s="16" t="n">
        <v>45808</v>
      </c>
      <c r="G41" s="38" t="n">
        <f aca="false">IF($A41="","",_xlfn.xlookup(--LEFT($A41,FIND("-",$A41&amp;"-")-1),LabSys!$A:$A,LabSys!$D:$D,""))</f>
        <v>11.4</v>
      </c>
      <c r="H41" s="38" t="n">
        <f aca="false">IF($A41="","",_xlfn.xlookup(--LEFT($A41,FIND("-",$A41&amp;"-")-1),LabSys!$A:$A,LabSys!$E:$E,""))</f>
        <v>2.463</v>
      </c>
      <c r="I41" s="38" t="n">
        <f aca="false">IF($A41="","",_xlfn.xlookup(--LEFT($A41,FIND("-",$A41&amp;"-")-1),LabSys!$A:$A,LabSys!$B:$B,""))</f>
        <v>216</v>
      </c>
      <c r="J41" s="38" t="n">
        <f aca="false">IF($A41="","",_xlfn.xlookup(--LEFT($A41,FIND("-",$A41&amp;"-")-1),LabSys!$A:$A,LabSys!$C:$C,""))</f>
        <v>14.312</v>
      </c>
      <c r="K41" s="38" t="n">
        <f aca="false">IF($A41="","",_xlfn.xlookup(--LEFT($A41,FIND("-",$A41&amp;"-")-1),LabSys!$A:$A,LabSys!$F:$F,""))</f>
        <v>11.3</v>
      </c>
      <c r="L41" s="38" t="n">
        <f aca="false">IF($A41="","",_xlfn.xlookup(--LEFT($A41,FIND("-",$A41&amp;"-")-1),LabSys!$A:$A,LabSys!$G:$G,""))</f>
        <v>0.714</v>
      </c>
      <c r="M41" s="39" t="n">
        <v>16.0547245741043</v>
      </c>
      <c r="N41" s="39" t="n">
        <v>0.0949592025688671</v>
      </c>
      <c r="O41" s="39" t="n">
        <v>360.711816952724</v>
      </c>
      <c r="P41" s="39" t="n">
        <v>0.771697356665458</v>
      </c>
      <c r="Q41" s="39" t="n">
        <v>17.942907244099</v>
      </c>
      <c r="R41" s="39" t="n">
        <v>0.0574249239007877</v>
      </c>
    </row>
    <row r="42" customFormat="false" ht="15" hidden="false" customHeight="false" outlineLevel="0" collapsed="false">
      <c r="A42" s="12" t="s">
        <v>163</v>
      </c>
      <c r="B42" s="5" t="s">
        <v>164</v>
      </c>
      <c r="C42" s="13" t="s">
        <v>165</v>
      </c>
      <c r="D42" s="14" t="n">
        <v>1</v>
      </c>
      <c r="E42" s="15" t="n">
        <v>1.652</v>
      </c>
      <c r="F42" s="16" t="n">
        <v>45793</v>
      </c>
      <c r="G42" s="38" t="n">
        <f aca="false">IF($A42="","",_xlfn.xlookup(--LEFT($A42,FIND("-",$A42&amp;"-")-1),LabSys!$A:$A,LabSys!$D:$D,""))</f>
        <v>34</v>
      </c>
      <c r="H42" s="38" t="n">
        <f aca="false">IF($A42="","",_xlfn.xlookup(--LEFT($A42,FIND("-",$A42&amp;"-")-1),LabSys!$A:$A,LabSys!$E:$E,""))</f>
        <v>2.28</v>
      </c>
      <c r="I42" s="38" t="n">
        <f aca="false">IF($A42="","",_xlfn.xlookup(--LEFT($A42,FIND("-",$A42&amp;"-")-1),LabSys!$A:$A,LabSys!$B:$B,""))</f>
        <v>465</v>
      </c>
      <c r="J42" s="38" t="n">
        <f aca="false">IF($A42="","",_xlfn.xlookup(--LEFT($A42,FIND("-",$A42&amp;"-")-1),LabSys!$A:$A,LabSys!$C:$C,""))</f>
        <v>23.578</v>
      </c>
      <c r="K42" s="38" t="n">
        <f aca="false">IF($A42="","",_xlfn.xlookup(--LEFT($A42,FIND("-",$A42&amp;"-")-1),LabSys!$A:$A,LabSys!$F:$F,""))</f>
        <v>24.7</v>
      </c>
      <c r="L42" s="38" t="n">
        <f aca="false">IF($A42="","",_xlfn.xlookup(--LEFT($A42,FIND("-",$A42&amp;"-")-1),LabSys!$A:$A,LabSys!$G:$G,""))</f>
        <v>1.107</v>
      </c>
      <c r="M42" s="39" t="n">
        <v>49.5127499668869</v>
      </c>
      <c r="N42" s="39" t="n">
        <v>0.261684631075257</v>
      </c>
      <c r="O42" s="39" t="n">
        <v>754.163438458369</v>
      </c>
      <c r="P42" s="39" t="n">
        <v>2.15882412624352</v>
      </c>
      <c r="Q42" s="39" t="n">
        <v>38.6987118551235</v>
      </c>
      <c r="R42" s="39" t="n">
        <v>0.158249223024006</v>
      </c>
    </row>
    <row r="43" customFormat="false" ht="15" hidden="false" customHeight="false" outlineLevel="0" collapsed="false">
      <c r="A43" s="12" t="s">
        <v>171</v>
      </c>
      <c r="B43" s="5" t="s">
        <v>172</v>
      </c>
      <c r="C43" s="13" t="s">
        <v>173</v>
      </c>
      <c r="D43" s="14" t="n">
        <v>1</v>
      </c>
      <c r="E43" s="15" t="n">
        <v>1.696</v>
      </c>
      <c r="F43" s="16" t="n">
        <v>45793</v>
      </c>
      <c r="G43" s="38" t="n">
        <f aca="false">IF($A43="","",_xlfn.xlookup(--LEFT($A43,FIND("-",$A43&amp;"-")-1),LabSys!$A:$A,LabSys!$D:$D,""))</f>
        <v>36.9</v>
      </c>
      <c r="H43" s="38" t="n">
        <f aca="false">IF($A43="","",_xlfn.xlookup(--LEFT($A43,FIND("-",$A43&amp;"-")-1),LabSys!$A:$A,LabSys!$E:$E,""))</f>
        <v>3.648</v>
      </c>
      <c r="I43" s="38" t="n">
        <f aca="false">IF($A43="","",_xlfn.xlookup(--LEFT($A43,FIND("-",$A43&amp;"-")-1),LabSys!$A:$A,LabSys!$B:$B,""))</f>
        <v>514</v>
      </c>
      <c r="J43" s="38" t="n">
        <f aca="false">IF($A43="","",_xlfn.xlookup(--LEFT($A43,FIND("-",$A43&amp;"-")-1),LabSys!$A:$A,LabSys!$C:$C,""))</f>
        <v>27.975</v>
      </c>
      <c r="K43" s="38" t="n">
        <f aca="false">IF($A43="","",_xlfn.xlookup(--LEFT($A43,FIND("-",$A43&amp;"-")-1),LabSys!$A:$A,LabSys!$F:$F,""))</f>
        <v>24.6</v>
      </c>
      <c r="L43" s="38" t="n">
        <f aca="false">IF($A43="","",_xlfn.xlookup(--LEFT($A43,FIND("-",$A43&amp;"-")-1),LabSys!$A:$A,LabSys!$G:$G,""))</f>
        <v>1.253</v>
      </c>
      <c r="M43" s="39" t="n">
        <v>52.4244960966922</v>
      </c>
      <c r="N43" s="39" t="n">
        <v>0.290371637199322</v>
      </c>
      <c r="O43" s="39" t="n">
        <v>860.893558969566</v>
      </c>
      <c r="P43" s="39" t="n">
        <v>2.40564240286088</v>
      </c>
      <c r="Q43" s="39" t="n">
        <v>42.9311301583322</v>
      </c>
      <c r="R43" s="39" t="n">
        <v>0.175597190351565</v>
      </c>
    </row>
    <row r="44" customFormat="false" ht="15" hidden="false" customHeight="false" outlineLevel="0" collapsed="false">
      <c r="A44" s="12" t="s">
        <v>175</v>
      </c>
      <c r="B44" s="5" t="s">
        <v>176</v>
      </c>
      <c r="C44" s="13" t="s">
        <v>177</v>
      </c>
      <c r="D44" s="14" t="n">
        <v>1</v>
      </c>
      <c r="E44" s="15" t="n">
        <v>1.669</v>
      </c>
      <c r="F44" s="16" t="n">
        <v>45793</v>
      </c>
      <c r="G44" s="38" t="n">
        <f aca="false">IF($A44="","",_xlfn.xlookup(--LEFT($A44,FIND("-",$A44&amp;"-")-1),LabSys!$A:$A,LabSys!$D:$D,""))</f>
        <v>37.2</v>
      </c>
      <c r="H44" s="38" t="n">
        <f aca="false">IF($A44="","",_xlfn.xlookup(--LEFT($A44,FIND("-",$A44&amp;"-")-1),LabSys!$A:$A,LabSys!$E:$E,""))</f>
        <v>2.855</v>
      </c>
      <c r="I44" s="38" t="n">
        <f aca="false">IF($A44="","",_xlfn.xlookup(--LEFT($A44,FIND("-",$A44&amp;"-")-1),LabSys!$A:$A,LabSys!$B:$B,""))</f>
        <v>411</v>
      </c>
      <c r="J44" s="38" t="n">
        <f aca="false">IF($A44="","",_xlfn.xlookup(--LEFT($A44,FIND("-",$A44&amp;"-")-1),LabSys!$A:$A,LabSys!$C:$C,""))</f>
        <v>20.953</v>
      </c>
      <c r="K44" s="38" t="n">
        <f aca="false">IF($A44="","",_xlfn.xlookup(--LEFT($A44,FIND("-",$A44&amp;"-")-1),LabSys!$A:$A,LabSys!$F:$F,""))</f>
        <v>23.2</v>
      </c>
      <c r="L44" s="38" t="n">
        <f aca="false">IF($A44="","",_xlfn.xlookup(--LEFT($A44,FIND("-",$A44&amp;"-")-1),LabSys!$A:$A,LabSys!$G:$G,""))</f>
        <v>1.023</v>
      </c>
      <c r="M44" s="39" t="n">
        <v>47.800270282884</v>
      </c>
      <c r="N44" s="39" t="n">
        <v>0.254175997936202</v>
      </c>
      <c r="O44" s="39" t="n">
        <v>702.721881789295</v>
      </c>
      <c r="P44" s="39" t="n">
        <v>1.78561701335084</v>
      </c>
      <c r="Q44" s="39" t="n">
        <v>38.4480527773509</v>
      </c>
      <c r="R44" s="39" t="n">
        <v>0.153708507906937</v>
      </c>
    </row>
    <row r="45" customFormat="false" ht="15" hidden="false" customHeight="false" outlineLevel="0" collapsed="false">
      <c r="A45" s="12" t="s">
        <v>179</v>
      </c>
      <c r="B45" s="5" t="s">
        <v>180</v>
      </c>
      <c r="C45" s="13" t="s">
        <v>181</v>
      </c>
      <c r="D45" s="14" t="n">
        <v>1</v>
      </c>
      <c r="E45" s="15" t="n">
        <v>1.541</v>
      </c>
      <c r="F45" s="16" t="n">
        <v>45826</v>
      </c>
      <c r="G45" s="38" t="n">
        <f aca="false">IF($A45="","",_xlfn.xlookup(--LEFT($A45,FIND("-",$A45&amp;"-")-1),LabSys!$A:$A,LabSys!$D:$D,""))</f>
        <v>19.2</v>
      </c>
      <c r="H45" s="38" t="n">
        <f aca="false">IF($A45="","",_xlfn.xlookup(--LEFT($A45,FIND("-",$A45&amp;"-")-1),LabSys!$A:$A,LabSys!$E:$E,""))</f>
        <v>2.511</v>
      </c>
      <c r="I45" s="38" t="n">
        <f aca="false">IF($A45="","",_xlfn.xlookup(--LEFT($A45,FIND("-",$A45&amp;"-")-1),LabSys!$A:$A,LabSys!$B:$B,""))</f>
        <v>401</v>
      </c>
      <c r="J45" s="38" t="n">
        <f aca="false">IF($A45="","",_xlfn.xlookup(--LEFT($A45,FIND("-",$A45&amp;"-")-1),LabSys!$A:$A,LabSys!$C:$C,""))</f>
        <v>20.98</v>
      </c>
      <c r="K45" s="38" t="n">
        <f aca="false">IF($A45="","",_xlfn.xlookup(--LEFT($A45,FIND("-",$A45&amp;"-")-1),LabSys!$A:$A,LabSys!$F:$F,""))</f>
        <v>15.9</v>
      </c>
      <c r="L45" s="38" t="n">
        <f aca="false">IF($A45="","",_xlfn.xlookup(--LEFT($A45,FIND("-",$A45&amp;"-")-1),LabSys!$A:$A,LabSys!$G:$G,""))</f>
        <v>0.826</v>
      </c>
      <c r="M45" s="39" t="n">
        <v>25.2951285518355</v>
      </c>
      <c r="N45" s="39" t="n">
        <v>0.13599350306635</v>
      </c>
      <c r="O45" s="39" t="n">
        <v>620.202957542543</v>
      </c>
      <c r="P45" s="39" t="n">
        <v>1.26443659706691</v>
      </c>
      <c r="Q45" s="39" t="n">
        <v>24.1621195833377</v>
      </c>
      <c r="R45" s="39" t="n">
        <v>0.0822397024545682</v>
      </c>
    </row>
    <row r="46" customFormat="false" ht="15" hidden="false" customHeight="false" outlineLevel="0" collapsed="false">
      <c r="A46" s="12" t="s">
        <v>183</v>
      </c>
      <c r="B46" s="5" t="s">
        <v>99</v>
      </c>
      <c r="C46" s="13" t="s">
        <v>184</v>
      </c>
      <c r="D46" s="14" t="n">
        <v>1</v>
      </c>
      <c r="E46" s="20" t="n">
        <v>1.43</v>
      </c>
      <c r="F46" s="16" t="n">
        <v>45826</v>
      </c>
      <c r="G46" s="38" t="n">
        <f aca="false">IF($A46="","",_xlfn.xlookup(--LEFT($A46,FIND("-",$A46&amp;"-")-1),LabSys!$A:$A,LabSys!$D:$D,""))</f>
        <v>19.7</v>
      </c>
      <c r="H46" s="38" t="n">
        <f aca="false">IF($A46="","",_xlfn.xlookup(--LEFT($A46,FIND("-",$A46&amp;"-")-1),LabSys!$A:$A,LabSys!$E:$E,""))</f>
        <v>2.326</v>
      </c>
      <c r="I46" s="38" t="n">
        <f aca="false">IF($A46="","",_xlfn.xlookup(--LEFT($A46,FIND("-",$A46&amp;"-")-1),LabSys!$A:$A,LabSys!$B:$B,""))</f>
        <v>399</v>
      </c>
      <c r="J46" s="38" t="n">
        <f aca="false">IF($A46="","",_xlfn.xlookup(--LEFT($A46,FIND("-",$A46&amp;"-")-1),LabSys!$A:$A,LabSys!$C:$C,""))</f>
        <v>20.633</v>
      </c>
      <c r="K46" s="38" t="n">
        <f aca="false">IF($A46="","",_xlfn.xlookup(--LEFT($A46,FIND("-",$A46&amp;"-")-1),LabSys!$A:$A,LabSys!$F:$F,""))</f>
        <v>19.3</v>
      </c>
      <c r="L46" s="38" t="n">
        <f aca="false">IF($A46="","",_xlfn.xlookup(--LEFT($A46,FIND("-",$A46&amp;"-")-1),LabSys!$A:$A,LabSys!$G:$G,""))</f>
        <v>0.89</v>
      </c>
      <c r="M46" s="39" t="n">
        <v>28.723488437466</v>
      </c>
      <c r="N46" s="39" t="n">
        <v>0.146041772815496</v>
      </c>
      <c r="O46" s="39" t="n">
        <v>592.864734384179</v>
      </c>
      <c r="P46" s="39" t="n">
        <v>1.48528474396431</v>
      </c>
      <c r="Q46" s="39" t="n">
        <v>27.1363248172263</v>
      </c>
      <c r="R46" s="39" t="n">
        <v>0.0883162185801205</v>
      </c>
    </row>
    <row r="47" customFormat="false" ht="15" hidden="false" customHeight="false" outlineLevel="0" collapsed="false">
      <c r="A47" s="12" t="s">
        <v>186</v>
      </c>
      <c r="B47" s="5" t="s">
        <v>99</v>
      </c>
      <c r="C47" s="13" t="s">
        <v>185</v>
      </c>
      <c r="D47" s="14" t="n">
        <v>1</v>
      </c>
      <c r="E47" s="15" t="n">
        <v>1.555</v>
      </c>
      <c r="F47" s="16" t="n">
        <v>45825</v>
      </c>
      <c r="G47" s="38" t="n">
        <f aca="false">IF($A47="","",_xlfn.xlookup(--LEFT($A47,FIND("-",$A47&amp;"-")-1),LabSys!$A:$A,LabSys!$D:$D,""))</f>
        <v>26</v>
      </c>
      <c r="H47" s="38" t="n">
        <f aca="false">IF($A47="","",_xlfn.xlookup(--LEFT($A47,FIND("-",$A47&amp;"-")-1),LabSys!$A:$A,LabSys!$E:$E,""))</f>
        <v>2.616</v>
      </c>
      <c r="I47" s="38" t="n">
        <f aca="false">IF($A47="","",_xlfn.xlookup(--LEFT($A47,FIND("-",$A47&amp;"-")-1),LabSys!$A:$A,LabSys!$B:$B,""))</f>
        <v>409</v>
      </c>
      <c r="J47" s="38" t="n">
        <f aca="false">IF($A47="","",_xlfn.xlookup(--LEFT($A47,FIND("-",$A47&amp;"-")-1),LabSys!$A:$A,LabSys!$C:$C,""))</f>
        <v>21.103</v>
      </c>
      <c r="K47" s="38" t="n">
        <f aca="false">IF($A47="","",_xlfn.xlookup(--LEFT($A47,FIND("-",$A47&amp;"-")-1),LabSys!$A:$A,LabSys!$F:$F,""))</f>
        <v>24.1</v>
      </c>
      <c r="L47" s="38" t="n">
        <f aca="false">IF($A47="","",_xlfn.xlookup(--LEFT($A47,FIND("-",$A47&amp;"-")-1),LabSys!$A:$A,LabSys!$G:$G,""))</f>
        <v>1.094</v>
      </c>
      <c r="M47" s="39" t="n">
        <v>37.097564066411</v>
      </c>
      <c r="N47" s="39" t="n">
        <v>0.198194779216759</v>
      </c>
      <c r="O47" s="39" t="n">
        <v>612.496029462253</v>
      </c>
      <c r="P47" s="39" t="n">
        <v>1.58415024994661</v>
      </c>
      <c r="Q47" s="39" t="n">
        <v>33.5991687423043</v>
      </c>
      <c r="R47" s="39" t="n">
        <v>0.119854840880764</v>
      </c>
    </row>
    <row r="48" customFormat="false" ht="15" hidden="false" customHeight="false" outlineLevel="0" collapsed="false">
      <c r="A48" s="12" t="s">
        <v>188</v>
      </c>
      <c r="B48" s="5" t="s">
        <v>99</v>
      </c>
      <c r="C48" s="13" t="s">
        <v>178</v>
      </c>
      <c r="D48" s="14" t="n">
        <v>1</v>
      </c>
      <c r="E48" s="15" t="n">
        <v>1.545</v>
      </c>
      <c r="F48" s="16" t="n">
        <v>45825</v>
      </c>
      <c r="G48" s="38" t="n">
        <f aca="false">IF($A48="","",_xlfn.xlookup(--LEFT($A48,FIND("-",$A48&amp;"-")-1),LabSys!$A:$A,LabSys!$D:$D,""))</f>
        <v>10.4</v>
      </c>
      <c r="H48" s="38" t="n">
        <f aca="false">IF($A48="","",_xlfn.xlookup(--LEFT($A48,FIND("-",$A48&amp;"-")-1),LabSys!$A:$A,LabSys!$E:$E,""))</f>
        <v>1.547</v>
      </c>
      <c r="I48" s="38" t="n">
        <f aca="false">IF($A48="","",_xlfn.xlookup(--LEFT($A48,FIND("-",$A48&amp;"-")-1),LabSys!$A:$A,LabSys!$B:$B,""))</f>
        <v>464</v>
      </c>
      <c r="J48" s="38" t="n">
        <f aca="false">IF($A48="","",_xlfn.xlookup(--LEFT($A48,FIND("-",$A48&amp;"-")-1),LabSys!$A:$A,LabSys!$C:$C,""))</f>
        <v>23.876</v>
      </c>
      <c r="K48" s="38" t="n">
        <f aca="false">IF($A48="","",_xlfn.xlookup(--LEFT($A48,FIND("-",$A48&amp;"-")-1),LabSys!$A:$A,LabSys!$F:$F,""))</f>
        <v>13</v>
      </c>
      <c r="L48" s="38" t="n">
        <f aca="false">IF($A48="","",_xlfn.xlookup(--LEFT($A48,FIND("-",$A48&amp;"-")-1),LabSys!$A:$A,LabSys!$G:$G,""))</f>
        <v>0.669</v>
      </c>
      <c r="M48" s="39" t="n">
        <v>18.2655959637242</v>
      </c>
      <c r="N48" s="39" t="n">
        <v>0.132217736287934</v>
      </c>
      <c r="O48" s="39" t="n">
        <v>714.094166040836</v>
      </c>
      <c r="P48" s="39" t="n">
        <v>1.60029109561323</v>
      </c>
      <c r="Q48" s="39" t="n">
        <v>19.3499689075668</v>
      </c>
      <c r="R48" s="39" t="n">
        <v>0.0799563732557956</v>
      </c>
    </row>
    <row r="49" customFormat="false" ht="15" hidden="false" customHeight="false" outlineLevel="0" collapsed="false">
      <c r="A49" s="12" t="s">
        <v>189</v>
      </c>
      <c r="B49" s="5" t="s">
        <v>190</v>
      </c>
      <c r="C49" s="13" t="s">
        <v>174</v>
      </c>
      <c r="D49" s="14" t="n">
        <v>1</v>
      </c>
      <c r="E49" s="15" t="n">
        <v>1.445</v>
      </c>
      <c r="F49" s="16" t="n">
        <v>45826</v>
      </c>
      <c r="G49" s="38" t="n">
        <f aca="false">IF($A49="","",_xlfn.xlookup(--LEFT($A49,FIND("-",$A49&amp;"-")-1),LabSys!$A:$A,LabSys!$D:$D,""))</f>
        <v>26</v>
      </c>
      <c r="H49" s="38" t="n">
        <f aca="false">IF($A49="","",_xlfn.xlookup(--LEFT($A49,FIND("-",$A49&amp;"-")-1),LabSys!$A:$A,LabSys!$E:$E,""))</f>
        <v>3.806</v>
      </c>
      <c r="I49" s="38" t="n">
        <f aca="false">IF($A49="","",_xlfn.xlookup(--LEFT($A49,FIND("-",$A49&amp;"-")-1),LabSys!$A:$A,LabSys!$B:$B,""))</f>
        <v>423</v>
      </c>
      <c r="J49" s="38" t="n">
        <f aca="false">IF($A49="","",_xlfn.xlookup(--LEFT($A49,FIND("-",$A49&amp;"-")-1),LabSys!$A:$A,LabSys!$C:$C,""))</f>
        <v>24.775</v>
      </c>
      <c r="K49" s="38" t="n">
        <f aca="false">IF($A49="","",_xlfn.xlookup(--LEFT($A49,FIND("-",$A49&amp;"-")-1),LabSys!$A:$A,LabSys!$F:$F,""))</f>
        <v>26.9</v>
      </c>
      <c r="L49" s="38" t="n">
        <f aca="false">IF($A49="","",_xlfn.xlookup(--LEFT($A49,FIND("-",$A49&amp;"-")-1),LabSys!$A:$A,LabSys!$G:$G,""))</f>
        <v>1.452</v>
      </c>
      <c r="M49" s="39" t="n">
        <v>37.8596427310694</v>
      </c>
      <c r="N49" s="39" t="n">
        <v>0.173970330835957</v>
      </c>
      <c r="O49" s="39" t="n">
        <v>549.217991219658</v>
      </c>
      <c r="P49" s="39" t="n">
        <v>1.49806304602229</v>
      </c>
      <c r="Q49" s="39" t="n">
        <v>35.823240444447</v>
      </c>
      <c r="R49" s="39" t="n">
        <v>0.105205527626504</v>
      </c>
    </row>
    <row r="50" customFormat="false" ht="15" hidden="false" customHeight="false" outlineLevel="0" collapsed="false">
      <c r="A50" s="12" t="s">
        <v>195</v>
      </c>
      <c r="B50" s="5" t="s">
        <v>196</v>
      </c>
      <c r="C50" s="13" t="s">
        <v>170</v>
      </c>
      <c r="D50" s="14" t="n">
        <v>1</v>
      </c>
      <c r="E50" s="15" t="n">
        <v>1.899</v>
      </c>
      <c r="F50" s="16" t="n">
        <v>45826</v>
      </c>
      <c r="G50" s="38" t="n">
        <f aca="false">IF($A50="","",_xlfn.xlookup(--LEFT($A50,FIND("-",$A50&amp;"-")-1),LabSys!$A:$A,LabSys!$D:$D,""))</f>
        <v>47.9</v>
      </c>
      <c r="H50" s="38" t="n">
        <f aca="false">IF($A50="","",_xlfn.xlookup(--LEFT($A50,FIND("-",$A50&amp;"-")-1),LabSys!$A:$A,LabSys!$E:$E,""))</f>
        <v>4.301</v>
      </c>
      <c r="I50" s="38" t="n">
        <f aca="false">IF($A50="","",_xlfn.xlookup(--LEFT($A50,FIND("-",$A50&amp;"-")-1),LabSys!$A:$A,LabSys!$B:$B,""))</f>
        <v>1010</v>
      </c>
      <c r="J50" s="38" t="n">
        <f aca="false">IF($A50="","",_xlfn.xlookup(--LEFT($A50,FIND("-",$A50&amp;"-")-1),LabSys!$A:$A,LabSys!$C:$C,""))</f>
        <v>48.4</v>
      </c>
      <c r="K50" s="38" t="n">
        <f aca="false">IF($A50="","",_xlfn.xlookup(--LEFT($A50,FIND("-",$A50&amp;"-")-1),LabSys!$A:$A,LabSys!$F:$F,""))</f>
        <v>55</v>
      </c>
      <c r="L50" s="38" t="n">
        <f aca="false">IF($A50="","",_xlfn.xlookup(--LEFT($A50,FIND("-",$A50&amp;"-")-1),LabSys!$A:$A,LabSys!$G:$G,""))</f>
        <v>2.376</v>
      </c>
      <c r="M50" s="39" t="n">
        <v>107.924307229738</v>
      </c>
      <c r="N50" s="39" t="n">
        <v>0.647115809843803</v>
      </c>
      <c r="O50" s="39" t="n">
        <v>1755.19766070293</v>
      </c>
      <c r="P50" s="39" t="n">
        <v>4.16195394962781</v>
      </c>
      <c r="Q50" s="39" t="n">
        <v>96.3692579651402</v>
      </c>
      <c r="R50" s="39" t="n">
        <v>0.391332015539274</v>
      </c>
    </row>
    <row r="51" customFormat="false" ht="15" hidden="false" customHeight="false" outlineLevel="0" collapsed="false">
      <c r="A51" s="12" t="s">
        <v>197</v>
      </c>
      <c r="B51" s="5" t="s">
        <v>198</v>
      </c>
      <c r="C51" s="13" t="s">
        <v>166</v>
      </c>
      <c r="D51" s="14" t="n">
        <v>1</v>
      </c>
      <c r="E51" s="15" t="n">
        <v>1.777</v>
      </c>
      <c r="F51" s="16" t="n">
        <v>45826</v>
      </c>
      <c r="G51" s="38" t="n">
        <f aca="false">IF($A51="","",_xlfn.xlookup(--LEFT($A51,FIND("-",$A51&amp;"-")-1),LabSys!$A:$A,LabSys!$D:$D,""))</f>
        <v>46.1</v>
      </c>
      <c r="H51" s="38" t="n">
        <f aca="false">IF($A51="","",_xlfn.xlookup(--LEFT($A51,FIND("-",$A51&amp;"-")-1),LabSys!$A:$A,LabSys!$E:$E,""))</f>
        <v>4.683</v>
      </c>
      <c r="I51" s="38" t="n">
        <f aca="false">IF($A51="","",_xlfn.xlookup(--LEFT($A51,FIND("-",$A51&amp;"-")-1),LabSys!$A:$A,LabSys!$B:$B,""))</f>
        <v>1060</v>
      </c>
      <c r="J51" s="38" t="n">
        <f aca="false">IF($A51="","",_xlfn.xlookup(--LEFT($A51,FIND("-",$A51&amp;"-")-1),LabSys!$A:$A,LabSys!$C:$C,""))</f>
        <v>50.556</v>
      </c>
      <c r="K51" s="38" t="n">
        <f aca="false">IF($A51="","",_xlfn.xlookup(--LEFT($A51,FIND("-",$A51&amp;"-")-1),LabSys!$A:$A,LabSys!$F:$F,""))</f>
        <v>59.3</v>
      </c>
      <c r="L51" s="38" t="n">
        <f aca="false">IF($A51="","",_xlfn.xlookup(--LEFT($A51,FIND("-",$A51&amp;"-")-1),LabSys!$A:$A,LabSys!$G:$G,""))</f>
        <v>2.598</v>
      </c>
      <c r="M51" s="39" t="n">
        <v>75.4169540575142</v>
      </c>
      <c r="N51" s="39" t="n">
        <v>0.530706540354406</v>
      </c>
      <c r="O51" s="39" t="n">
        <v>1795.1540445796</v>
      </c>
      <c r="P51" s="39" t="n">
        <v>4.09486730226244</v>
      </c>
      <c r="Q51" s="39" t="n">
        <v>97.59268032943</v>
      </c>
      <c r="R51" s="39" t="n">
        <v>0.320935537252434</v>
      </c>
    </row>
    <row r="52" customFormat="false" ht="15" hidden="false" customHeight="false" outlineLevel="0" collapsed="false">
      <c r="A52" s="12" t="s">
        <v>199</v>
      </c>
      <c r="B52" s="5" t="s">
        <v>200</v>
      </c>
      <c r="C52" s="13" t="s">
        <v>162</v>
      </c>
      <c r="D52" s="14" t="n">
        <v>1</v>
      </c>
      <c r="E52" s="15" t="n">
        <v>1.748</v>
      </c>
      <c r="F52" s="16" t="n">
        <v>45826</v>
      </c>
      <c r="G52" s="38" t="n">
        <f aca="false">IF($A52="","",_xlfn.xlookup(--LEFT($A52,FIND("-",$A52&amp;"-")-1),LabSys!$A:$A,LabSys!$D:$D,""))</f>
        <v>12.2</v>
      </c>
      <c r="H52" s="38" t="n">
        <f aca="false">IF($A52="","",_xlfn.xlookup(--LEFT($A52,FIND("-",$A52&amp;"-")-1),LabSys!$A:$A,LabSys!$E:$E,""))</f>
        <v>2.272</v>
      </c>
      <c r="I52" s="38" t="n">
        <f aca="false">IF($A52="","",_xlfn.xlookup(--LEFT($A52,FIND("-",$A52&amp;"-")-1),LabSys!$A:$A,LabSys!$B:$B,""))</f>
        <v>527</v>
      </c>
      <c r="J52" s="38" t="n">
        <f aca="false">IF($A52="","",_xlfn.xlookup(--LEFT($A52,FIND("-",$A52&amp;"-")-1),LabSys!$A:$A,LabSys!$C:$C,""))</f>
        <v>26.388</v>
      </c>
      <c r="K52" s="38" t="n">
        <f aca="false">IF($A52="","",_xlfn.xlookup(--LEFT($A52,FIND("-",$A52&amp;"-")-1),LabSys!$A:$A,LabSys!$F:$F,""))</f>
        <v>11.2</v>
      </c>
      <c r="L52" s="38" t="n">
        <f aca="false">IF($A52="","",_xlfn.xlookup(--LEFT($A52,FIND("-",$A52&amp;"-")-1),LabSys!$A:$A,LabSys!$G:$G,""))</f>
        <v>0.631</v>
      </c>
      <c r="M52" s="39" t="n">
        <v>15.2159573277482</v>
      </c>
      <c r="N52" s="39" t="n">
        <v>0.165315212424235</v>
      </c>
      <c r="O52" s="39" t="n">
        <v>878.913572011757</v>
      </c>
      <c r="P52" s="39" t="n">
        <v>1.90596321573953</v>
      </c>
      <c r="Q52" s="39" t="n">
        <v>18.2107519365477</v>
      </c>
      <c r="R52" s="39" t="n">
        <v>0.0999714955084999</v>
      </c>
    </row>
    <row r="53" customFormat="false" ht="15" hidden="false" customHeight="false" outlineLevel="0" collapsed="false">
      <c r="A53" s="12" t="s">
        <v>201</v>
      </c>
      <c r="B53" s="5" t="s">
        <v>202</v>
      </c>
      <c r="C53" s="13" t="s">
        <v>158</v>
      </c>
      <c r="D53" s="14" t="n">
        <v>1</v>
      </c>
      <c r="E53" s="15" t="n">
        <v>1.719</v>
      </c>
      <c r="F53" s="16" t="n">
        <v>45831</v>
      </c>
      <c r="G53" s="38" t="n">
        <f aca="false">IF($A53="","",_xlfn.xlookup(--LEFT($A53,FIND("-",$A53&amp;"-")-1),LabSys!$A:$A,LabSys!$D:$D,""))</f>
        <v>10.5</v>
      </c>
      <c r="H53" s="38" t="n">
        <f aca="false">IF($A53="","",_xlfn.xlookup(--LEFT($A53,FIND("-",$A53&amp;"-")-1),LabSys!$A:$A,LabSys!$E:$E,""))</f>
        <v>2.183</v>
      </c>
      <c r="I53" s="38" t="n">
        <f aca="false">IF($A53="","",_xlfn.xlookup(--LEFT($A53,FIND("-",$A53&amp;"-")-1),LabSys!$A:$A,LabSys!$B:$B,""))</f>
        <v>668</v>
      </c>
      <c r="J53" s="38" t="n">
        <f aca="false">IF($A53="","",_xlfn.xlookup(--LEFT($A53,FIND("-",$A53&amp;"-")-1),LabSys!$A:$A,LabSys!$C:$C,""))</f>
        <v>32.946</v>
      </c>
      <c r="K53" s="38" t="n">
        <f aca="false">IF($A53="","",_xlfn.xlookup(--LEFT($A53,FIND("-",$A53&amp;"-")-1),LabSys!$A:$A,LabSys!$F:$F,""))</f>
        <v>17.7</v>
      </c>
      <c r="L53" s="38" t="n">
        <f aca="false">IF($A53="","",_xlfn.xlookup(--LEFT($A53,FIND("-",$A53&amp;"-")-1),LabSys!$A:$A,LabSys!$G:$G,""))</f>
        <v>0.911</v>
      </c>
      <c r="M53" s="39" t="n">
        <v>19.1268779311845</v>
      </c>
      <c r="N53" s="39" t="n">
        <v>0.190529620719052</v>
      </c>
      <c r="O53" s="39" t="n">
        <v>1048.56789848104</v>
      </c>
      <c r="P53" s="39" t="n">
        <v>2.11972893137087</v>
      </c>
      <c r="Q53" s="39" t="n">
        <v>28.7695171368438</v>
      </c>
      <c r="R53" s="39" t="n">
        <v>0.115219469779168</v>
      </c>
    </row>
    <row r="54" customFormat="false" ht="15" hidden="false" customHeight="false" outlineLevel="0" collapsed="false">
      <c r="A54" s="12" t="s">
        <v>203</v>
      </c>
      <c r="B54" s="5" t="s">
        <v>204</v>
      </c>
      <c r="C54" s="13" t="s">
        <v>154</v>
      </c>
      <c r="D54" s="14" t="n">
        <v>1</v>
      </c>
      <c r="E54" s="15" t="n">
        <v>1.866</v>
      </c>
      <c r="F54" s="16" t="n">
        <v>45831</v>
      </c>
      <c r="G54" s="38" t="n">
        <f aca="false">IF($A54="","",_xlfn.xlookup(--LEFT($A54,FIND("-",$A54&amp;"-")-1),LabSys!$A:$A,LabSys!$D:$D,""))</f>
        <v>48.7</v>
      </c>
      <c r="H54" s="38" t="n">
        <f aca="false">IF($A54="","",_xlfn.xlookup(--LEFT($A54,FIND("-",$A54&amp;"-")-1),LabSys!$A:$A,LabSys!$E:$E,""))</f>
        <v>3.947</v>
      </c>
      <c r="I54" s="38" t="n">
        <f aca="false">IF($A54="","",_xlfn.xlookup(--LEFT($A54,FIND("-",$A54&amp;"-")-1),LabSys!$A:$A,LabSys!$B:$B,""))</f>
        <v>706</v>
      </c>
      <c r="J54" s="38" t="n">
        <f aca="false">IF($A54="","",_xlfn.xlookup(--LEFT($A54,FIND("-",$A54&amp;"-")-1),LabSys!$A:$A,LabSys!$C:$C,""))</f>
        <v>33.65</v>
      </c>
      <c r="K54" s="38" t="n">
        <f aca="false">IF($A54="","",_xlfn.xlookup(--LEFT($A54,FIND("-",$A54&amp;"-")-1),LabSys!$A:$A,LabSys!$F:$F,""))</f>
        <v>46.7</v>
      </c>
      <c r="L54" s="38" t="n">
        <f aca="false">IF($A54="","",_xlfn.xlookup(--LEFT($A54,FIND("-",$A54&amp;"-")-1),LabSys!$A:$A,LabSys!$G:$G,""))</f>
        <v>1.916</v>
      </c>
      <c r="M54" s="39" t="n">
        <v>95.7478343913517</v>
      </c>
      <c r="N54" s="39" t="n">
        <v>0.557320873261049</v>
      </c>
      <c r="O54" s="39" t="n">
        <v>1242.24842397915</v>
      </c>
      <c r="P54" s="39" t="n">
        <v>3.34074996466598</v>
      </c>
      <c r="Q54" s="39" t="n">
        <v>79.4027810676263</v>
      </c>
      <c r="R54" s="39" t="n">
        <v>0.337030091550379</v>
      </c>
    </row>
    <row r="55" customFormat="false" ht="15" hidden="false" customHeight="false" outlineLevel="0" collapsed="false">
      <c r="A55" s="12" t="s">
        <v>208</v>
      </c>
      <c r="B55" s="5" t="s">
        <v>200</v>
      </c>
      <c r="C55" s="13" t="s">
        <v>148</v>
      </c>
      <c r="D55" s="14" t="n">
        <v>1</v>
      </c>
      <c r="E55" s="15" t="n">
        <v>1.721</v>
      </c>
      <c r="F55" s="16" t="n">
        <v>45831</v>
      </c>
      <c r="G55" s="38" t="n">
        <f aca="false">IF($A55="","",_xlfn.xlookup(--LEFT($A55,FIND("-",$A55&amp;"-")-1),LabSys!$A:$A,LabSys!$D:$D,""))</f>
        <v>9.53</v>
      </c>
      <c r="H55" s="38" t="n">
        <f aca="false">IF($A55="","",_xlfn.xlookup(--LEFT($A55,FIND("-",$A55&amp;"-")-1),LabSys!$A:$A,LabSys!$E:$E,""))</f>
        <v>2.002</v>
      </c>
      <c r="I55" s="38" t="n">
        <f aca="false">IF($A55="","",_xlfn.xlookup(--LEFT($A55,FIND("-",$A55&amp;"-")-1),LabSys!$A:$A,LabSys!$B:$B,""))</f>
        <v>324</v>
      </c>
      <c r="J55" s="38" t="n">
        <f aca="false">IF($A55="","",_xlfn.xlookup(--LEFT($A55,FIND("-",$A55&amp;"-")-1),LabSys!$A:$A,LabSys!$C:$C,""))</f>
        <v>16.218</v>
      </c>
      <c r="K55" s="38" t="n">
        <f aca="false">IF($A55="","",_xlfn.xlookup(--LEFT($A55,FIND("-",$A55&amp;"-")-1),LabSys!$A:$A,LabSys!$F:$F,""))</f>
        <v>13.5</v>
      </c>
      <c r="L55" s="38" t="n">
        <f aca="false">IF($A55="","",_xlfn.xlookup(--LEFT($A55,FIND("-",$A55&amp;"-")-1),LabSys!$A:$A,LabSys!$G:$G,""))</f>
        <v>0.646</v>
      </c>
      <c r="M55" s="39" t="n">
        <v>17.8172884744068</v>
      </c>
      <c r="N55" s="39" t="n">
        <v>0.136618370069115</v>
      </c>
      <c r="O55" s="39" t="n">
        <v>550.605780785231</v>
      </c>
      <c r="P55" s="39" t="n">
        <v>1.39380602101532</v>
      </c>
      <c r="Q55" s="39" t="n">
        <v>22.3347198870841</v>
      </c>
      <c r="R55" s="39" t="n">
        <v>0.0826175798915215</v>
      </c>
    </row>
    <row r="56" customFormat="false" ht="15" hidden="false" customHeight="false" outlineLevel="0" collapsed="false">
      <c r="A56" s="12" t="s">
        <v>224</v>
      </c>
      <c r="B56" s="5" t="s">
        <v>225</v>
      </c>
      <c r="C56" s="13" t="s">
        <v>141</v>
      </c>
      <c r="D56" s="14" t="n">
        <v>1</v>
      </c>
      <c r="E56" s="15" t="n">
        <v>1.525</v>
      </c>
      <c r="F56" s="16" t="n">
        <v>45835</v>
      </c>
      <c r="G56" s="38" t="n">
        <f aca="false">IF($A56="","",_xlfn.xlookup(--LEFT($A56,FIND("-",$A56&amp;"-")-1),LabSys!$A:$A,LabSys!$D:$D,""))</f>
        <v>113</v>
      </c>
      <c r="H56" s="38" t="n">
        <f aca="false">IF($A56="","",_xlfn.xlookup(--LEFT($A56,FIND("-",$A56&amp;"-")-1),LabSys!$A:$A,LabSys!$E:$E,""))</f>
        <v>7.685</v>
      </c>
      <c r="I56" s="38" t="n">
        <f aca="false">IF($A56="","",_xlfn.xlookup(--LEFT($A56,FIND("-",$A56&amp;"-")-1),LabSys!$A:$A,LabSys!$B:$B,""))</f>
        <v>1350</v>
      </c>
      <c r="J56" s="38" t="n">
        <f aca="false">IF($A56="","",_xlfn.xlookup(--LEFT($A56,FIND("-",$A56&amp;"-")-1),LabSys!$A:$A,LabSys!$C:$C,""))</f>
        <v>67.418</v>
      </c>
      <c r="K56" s="38" t="n">
        <f aca="false">IF($A56="","",_xlfn.xlookup(--LEFT($A56,FIND("-",$A56&amp;"-")-1),LabSys!$A:$A,LabSys!$F:$F,""))</f>
        <v>105</v>
      </c>
      <c r="L56" s="38" t="n">
        <f aca="false">IF($A56="","",_xlfn.xlookup(--LEFT($A56,FIND("-",$A56&amp;"-")-1),LabSys!$A:$A,LabSys!$G:$G,""))</f>
        <v>4.499</v>
      </c>
      <c r="M56" s="39" t="n">
        <v>164.402387847424</v>
      </c>
      <c r="N56" s="39" t="n">
        <v>0.668040270932562</v>
      </c>
      <c r="O56" s="39" t="n">
        <v>2077.9010620459</v>
      </c>
      <c r="P56" s="39" t="n">
        <v>4.92476826386059</v>
      </c>
      <c r="Q56" s="39" t="n">
        <v>152.265472587761</v>
      </c>
      <c r="R56" s="39" t="n">
        <v>0.403985718952754</v>
      </c>
    </row>
    <row r="57" customFormat="false" ht="15" hidden="false" customHeight="false" outlineLevel="0" collapsed="false">
      <c r="A57" s="12" t="s">
        <v>241</v>
      </c>
      <c r="B57" s="5" t="s">
        <v>234</v>
      </c>
      <c r="C57" s="13" t="s">
        <v>133</v>
      </c>
      <c r="D57" s="14" t="n">
        <v>1</v>
      </c>
      <c r="E57" s="15" t="n">
        <v>1.748</v>
      </c>
      <c r="F57" s="16" t="n">
        <v>45859</v>
      </c>
      <c r="G57" s="38" t="n">
        <f aca="false">IF($A57="","",_xlfn.xlookup(--LEFT($A57,FIND("-",$A57&amp;"-")-1),LabSys!$A:$A,LabSys!$D:$D,""))</f>
        <v>105</v>
      </c>
      <c r="H57" s="38" t="n">
        <f aca="false">IF($A57="","",_xlfn.xlookup(--LEFT($A57,FIND("-",$A57&amp;"-")-1),LabSys!$A:$A,LabSys!$E:$E,""))</f>
        <v>7.903</v>
      </c>
      <c r="I57" s="38" t="n">
        <f aca="false">IF($A57="","",_xlfn.xlookup(--LEFT($A57,FIND("-",$A57&amp;"-")-1),LabSys!$A:$A,LabSys!$B:$B,""))</f>
        <v>1480</v>
      </c>
      <c r="J57" s="38" t="n">
        <f aca="false">IF($A57="","",_xlfn.xlookup(--LEFT($A57,FIND("-",$A57&amp;"-")-1),LabSys!$A:$A,LabSys!$C:$C,""))</f>
        <v>77.12</v>
      </c>
      <c r="K57" s="38" t="n">
        <f aca="false">IF($A57="","",_xlfn.xlookup(--LEFT($A57,FIND("-",$A57&amp;"-")-1),LabSys!$A:$A,LabSys!$F:$F,""))</f>
        <v>207</v>
      </c>
      <c r="L57" s="38" t="n">
        <f aca="false">IF($A57="","",_xlfn.xlookup(--LEFT($A57,FIND("-",$A57&amp;"-")-1),LabSys!$A:$A,LabSys!$G:$G,""))</f>
        <v>8.802</v>
      </c>
      <c r="M57" s="39" t="n">
        <v>189.832445238007</v>
      </c>
      <c r="N57" s="39" t="n">
        <v>1.33508292272042</v>
      </c>
      <c r="O57" s="39" t="n">
        <v>2401.65191435247</v>
      </c>
      <c r="P57" s="39" t="n">
        <v>5.97979599126977</v>
      </c>
      <c r="Q57" s="39" t="n">
        <v>319.793122650064</v>
      </c>
      <c r="R57" s="39" t="n">
        <v>0.807368145102738</v>
      </c>
    </row>
    <row r="58" customFormat="false" ht="15" hidden="false" customHeight="false" outlineLevel="0" collapsed="false">
      <c r="A58" s="12" t="s">
        <v>242</v>
      </c>
      <c r="B58" s="5" t="s">
        <v>239</v>
      </c>
      <c r="C58" s="13" t="s">
        <v>129</v>
      </c>
      <c r="D58" s="14" t="n">
        <v>1</v>
      </c>
      <c r="E58" s="15" t="n">
        <v>1.742</v>
      </c>
      <c r="F58" s="16" t="n">
        <v>45859</v>
      </c>
      <c r="G58" s="38" t="n">
        <f aca="false">IF($A58="","",_xlfn.xlookup(--LEFT($A58,FIND("-",$A58&amp;"-")-1),LabSys!$A:$A,LabSys!$D:$D,""))</f>
        <v>29.3</v>
      </c>
      <c r="H58" s="38" t="n">
        <f aca="false">IF($A58="","",_xlfn.xlookup(--LEFT($A58,FIND("-",$A58&amp;"-")-1),LabSys!$A:$A,LabSys!$E:$E,""))</f>
        <v>3.42</v>
      </c>
      <c r="I58" s="38" t="n">
        <f aca="false">IF($A58="","",_xlfn.xlookup(--LEFT($A58,FIND("-",$A58&amp;"-")-1),LabSys!$A:$A,LabSys!$B:$B,""))</f>
        <v>574</v>
      </c>
      <c r="J58" s="38" t="n">
        <f aca="false">IF($A58="","",_xlfn.xlookup(--LEFT($A58,FIND("-",$A58&amp;"-")-1),LabSys!$A:$A,LabSys!$C:$C,""))</f>
        <v>28.481</v>
      </c>
      <c r="K58" s="38" t="n">
        <f aca="false">IF($A58="","",_xlfn.xlookup(--LEFT($A58,FIND("-",$A58&amp;"-")-1),LabSys!$A:$A,LabSys!$F:$F,""))</f>
        <v>24.4</v>
      </c>
      <c r="L58" s="38" t="n">
        <f aca="false">IF($A58="","",_xlfn.xlookup(--LEFT($A58,FIND("-",$A58&amp;"-")-1),LabSys!$A:$A,LabSys!$G:$G,""))</f>
        <v>1.171</v>
      </c>
      <c r="M58" s="39" t="n">
        <v>51.9792426113689</v>
      </c>
      <c r="N58" s="39" t="n">
        <v>0.290243917909188</v>
      </c>
      <c r="O58" s="39" t="n">
        <v>948.473584048021</v>
      </c>
      <c r="P58" s="39" t="n">
        <v>2.50227554689434</v>
      </c>
      <c r="Q58" s="39" t="n">
        <v>40.3086565705498</v>
      </c>
      <c r="R58" s="39" t="n">
        <v>0.175519954335274</v>
      </c>
    </row>
    <row r="59" customFormat="false" ht="15" hidden="false" customHeight="false" outlineLevel="0" collapsed="false">
      <c r="A59" s="12" t="s">
        <v>251</v>
      </c>
      <c r="B59" s="5" t="s">
        <v>234</v>
      </c>
      <c r="C59" s="13" t="s">
        <v>126</v>
      </c>
      <c r="D59" s="14" t="n">
        <v>1</v>
      </c>
      <c r="E59" s="15" t="n">
        <v>1.618</v>
      </c>
      <c r="F59" s="16" t="n">
        <v>45875</v>
      </c>
      <c r="G59" s="38" t="n">
        <f aca="false">IF($A59="","",_xlfn.xlookup(--LEFT($A59,FIND("-",$A59&amp;"-")-1),LabSys!$A:$A,LabSys!$D:$D,""))</f>
        <v>116</v>
      </c>
      <c r="H59" s="38" t="n">
        <f aca="false">IF($A59="","",_xlfn.xlookup(--LEFT($A59,FIND("-",$A59&amp;"-")-1),LabSys!$A:$A,LabSys!$E:$E,""))</f>
        <v>8.356</v>
      </c>
      <c r="I59" s="38" t="n">
        <f aca="false">IF($A59="","",_xlfn.xlookup(--LEFT($A59,FIND("-",$A59&amp;"-")-1),LabSys!$A:$A,LabSys!$B:$B,""))</f>
        <v>1190</v>
      </c>
      <c r="J59" s="38" t="n">
        <f aca="false">IF($A59="","",_xlfn.xlookup(--LEFT($A59,FIND("-",$A59&amp;"-")-1),LabSys!$A:$A,LabSys!$C:$C,""))</f>
        <v>56.589</v>
      </c>
      <c r="K59" s="38" t="n">
        <f aca="false">IF($A59="","",_xlfn.xlookup(--LEFT($A59,FIND("-",$A59&amp;"-")-1),LabSys!$A:$A,LabSys!$F:$F,""))</f>
        <v>123</v>
      </c>
      <c r="L59" s="38" t="n">
        <f aca="false">IF($A59="","",_xlfn.xlookup(--LEFT($A59,FIND("-",$A59&amp;"-")-1),LabSys!$A:$A,LabSys!$G:$G,""))</f>
        <v>5.042</v>
      </c>
      <c r="M59" s="39" t="n">
        <v>184.652382611523</v>
      </c>
      <c r="N59" s="39" t="n">
        <v>0.899980641422528</v>
      </c>
      <c r="O59" s="39" t="n">
        <v>1902.66489566793</v>
      </c>
      <c r="P59" s="39" t="n">
        <v>4.80330308206094</v>
      </c>
      <c r="Q59" s="39" t="n">
        <v>192.229932616672</v>
      </c>
      <c r="R59" s="39" t="n">
        <v>0.544247618427398</v>
      </c>
    </row>
    <row r="60" customFormat="false" ht="15" hidden="false" customHeight="false" outlineLevel="0" collapsed="false">
      <c r="A60" s="12" t="s">
        <v>254</v>
      </c>
      <c r="B60" s="5" t="s">
        <v>88</v>
      </c>
      <c r="C60" s="13" t="s">
        <v>123</v>
      </c>
      <c r="D60" s="14" t="n">
        <v>1</v>
      </c>
      <c r="E60" s="15" t="n">
        <v>0.905</v>
      </c>
      <c r="F60" s="16" t="n">
        <v>45876</v>
      </c>
      <c r="G60" s="38" t="n">
        <f aca="false">IF($A60="","",_xlfn.xlookup(--LEFT($A60,FIND("-",$A60&amp;"-")-1),LabSys!$A:$A,LabSys!$D:$D,""))</f>
        <v>97.6</v>
      </c>
      <c r="H60" s="38" t="n">
        <f aca="false">IF($A60="","",_xlfn.xlookup(--LEFT($A60,FIND("-",$A60&amp;"-")-1),LabSys!$A:$A,LabSys!$E:$E,""))</f>
        <v>7.109</v>
      </c>
      <c r="I60" s="38" t="n">
        <f aca="false">IF($A60="","",_xlfn.xlookup(--LEFT($A60,FIND("-",$A60&amp;"-")-1),LabSys!$A:$A,LabSys!$B:$B,""))</f>
        <v>209</v>
      </c>
      <c r="J60" s="38" t="n">
        <f aca="false">IF($A60="","",_xlfn.xlookup(--LEFT($A60,FIND("-",$A60&amp;"-")-1),LabSys!$A:$A,LabSys!$C:$C,""))</f>
        <v>13.74</v>
      </c>
      <c r="K60" s="38" t="n">
        <f aca="false">IF($A60="","",_xlfn.xlookup(--LEFT($A60,FIND("-",$A60&amp;"-")-1),LabSys!$A:$A,LabSys!$F:$F,""))</f>
        <v>66.5</v>
      </c>
      <c r="L60" s="38" t="n">
        <f aca="false">IF($A60="","",_xlfn.xlookup(--LEFT($A60,FIND("-",$A60&amp;"-")-1),LabSys!$A:$A,LabSys!$G:$G,""))</f>
        <v>2.896</v>
      </c>
      <c r="M60" s="39" t="n">
        <v>101.2179097429</v>
      </c>
      <c r="N60" s="39" t="n">
        <v>0.206636698372749</v>
      </c>
      <c r="O60" s="39" t="n">
        <v>210.698486460185</v>
      </c>
      <c r="P60" s="39" t="n">
        <v>1.8539884767119</v>
      </c>
      <c r="Q60" s="39" t="n">
        <v>62.8523177383439</v>
      </c>
      <c r="R60" s="39" t="n">
        <v>0.124959944462039</v>
      </c>
    </row>
    <row r="61" customFormat="false" ht="15" hidden="false" customHeight="false" outlineLevel="0" collapsed="false">
      <c r="A61" s="12" t="s">
        <v>255</v>
      </c>
      <c r="B61" s="5" t="s">
        <v>88</v>
      </c>
      <c r="C61" s="13" t="s">
        <v>120</v>
      </c>
      <c r="D61" s="14" t="n">
        <v>1</v>
      </c>
      <c r="E61" s="15" t="n">
        <v>0.876</v>
      </c>
      <c r="F61" s="16" t="n">
        <v>45876</v>
      </c>
      <c r="G61" s="38" t="n">
        <f aca="false">IF($A61="","",_xlfn.xlookup(--LEFT($A61,FIND("-",$A61&amp;"-")-1),LabSys!$A:$A,LabSys!$D:$D,""))</f>
        <v>63.4</v>
      </c>
      <c r="H61" s="38" t="n">
        <f aca="false">IF($A61="","",_xlfn.xlookup(--LEFT($A61,FIND("-",$A61&amp;"-")-1),LabSys!$A:$A,LabSys!$E:$E,""))</f>
        <v>6.553</v>
      </c>
      <c r="I61" s="38" t="n">
        <f aca="false">IF($A61="","",_xlfn.xlookup(--LEFT($A61,FIND("-",$A61&amp;"-")-1),LabSys!$A:$A,LabSys!$B:$B,""))</f>
        <v>230</v>
      </c>
      <c r="J61" s="38" t="n">
        <f aca="false">IF($A61="","",_xlfn.xlookup(--LEFT($A61,FIND("-",$A61&amp;"-")-1),LabSys!$A:$A,LabSys!$C:$C,""))</f>
        <v>16.759</v>
      </c>
      <c r="K61" s="38" t="n">
        <f aca="false">IF($A61="","",_xlfn.xlookup(--LEFT($A61,FIND("-",$A61&amp;"-")-1),LabSys!$A:$A,LabSys!$F:$F,""))</f>
        <v>49.7</v>
      </c>
      <c r="L61" s="38" t="n">
        <f aca="false">IF($A61="","",_xlfn.xlookup(--LEFT($A61,FIND("-",$A61&amp;"-")-1),LabSys!$A:$A,LabSys!$G:$G,""))</f>
        <v>2.536</v>
      </c>
      <c r="M61" s="39" t="n">
        <v>75.1221725780336</v>
      </c>
      <c r="N61" s="39" t="n">
        <v>0.164572053845347</v>
      </c>
      <c r="O61" s="39" t="n">
        <v>225.850011630854</v>
      </c>
      <c r="P61" s="39" t="n">
        <v>1.74806201137718</v>
      </c>
      <c r="Q61" s="39" t="n">
        <v>51.3408335487384</v>
      </c>
      <c r="R61" s="39" t="n">
        <v>0.0995220833011059</v>
      </c>
    </row>
    <row r="62" customFormat="false" ht="15" hidden="false" customHeight="false" outlineLevel="0" collapsed="false">
      <c r="A62" s="12" t="s">
        <v>256</v>
      </c>
      <c r="B62" s="5" t="s">
        <v>99</v>
      </c>
      <c r="C62" s="13" t="s">
        <v>117</v>
      </c>
      <c r="D62" s="14" t="n">
        <v>1</v>
      </c>
      <c r="E62" s="15" t="n">
        <v>1.355</v>
      </c>
      <c r="F62" s="16" t="n">
        <v>45807</v>
      </c>
      <c r="G62" s="38" t="n">
        <f aca="false">IF($A62="","",_xlfn.xlookup(--LEFT($A62,FIND("-",$A62&amp;"-")-1),LabSys!$A:$A,LabSys!$D:$D,""))</f>
        <v>42.4</v>
      </c>
      <c r="H62" s="38" t="n">
        <f aca="false">IF($A62="","",_xlfn.xlookup(--LEFT($A62,FIND("-",$A62&amp;"-")-1),LabSys!$A:$A,LabSys!$E:$E,""))</f>
        <v>3.949</v>
      </c>
      <c r="I62" s="38" t="n">
        <f aca="false">IF($A62="","",_xlfn.xlookup(--LEFT($A62,FIND("-",$A62&amp;"-")-1),LabSys!$A:$A,LabSys!$B:$B,""))</f>
        <v>460</v>
      </c>
      <c r="J62" s="38" t="n">
        <f aca="false">IF($A62="","",_xlfn.xlookup(--LEFT($A62,FIND("-",$A62&amp;"-")-1),LabSys!$A:$A,LabSys!$C:$C,""))</f>
        <v>23.427</v>
      </c>
      <c r="K62" s="38" t="n">
        <f aca="false">IF($A62="","",_xlfn.xlookup(--LEFT($A62,FIND("-",$A62&amp;"-")-1),LabSys!$A:$A,LabSys!$F:$F,""))</f>
        <v>27.4</v>
      </c>
      <c r="L62" s="38" t="n">
        <f aca="false">IF($A62="","",_xlfn.xlookup(--LEFT($A62,FIND("-",$A62&amp;"-")-1),LabSys!$A:$A,LabSys!$G:$G,""))</f>
        <v>1.292</v>
      </c>
      <c r="M62" s="39" t="n">
        <v>57.2519706492533</v>
      </c>
      <c r="N62" s="39" t="n">
        <v>0.219959453571922</v>
      </c>
      <c r="O62" s="39" t="n">
        <v>627.130146002919</v>
      </c>
      <c r="P62" s="39" t="n">
        <v>2.02662071963056</v>
      </c>
      <c r="Q62" s="39" t="n">
        <v>34.5208426345727</v>
      </c>
      <c r="R62" s="39" t="n">
        <v>0.133016648633564</v>
      </c>
    </row>
    <row r="63" customFormat="false" ht="15" hidden="false" customHeight="false" outlineLevel="0" collapsed="false">
      <c r="A63" s="12" t="s">
        <v>257</v>
      </c>
      <c r="B63" s="5" t="s">
        <v>99</v>
      </c>
      <c r="C63" s="13" t="s">
        <v>114</v>
      </c>
      <c r="D63" s="14" t="n">
        <v>1</v>
      </c>
      <c r="E63" s="15" t="n">
        <v>1.567</v>
      </c>
      <c r="F63" s="16" t="n">
        <v>45807</v>
      </c>
      <c r="G63" s="38" t="n">
        <f aca="false">IF($A63="","",_xlfn.xlookup(--LEFT($A63,FIND("-",$A63&amp;"-")-1),LabSys!$A:$A,LabSys!$D:$D,""))</f>
        <v>19.1</v>
      </c>
      <c r="H63" s="38" t="n">
        <f aca="false">IF($A63="","",_xlfn.xlookup(--LEFT($A63,FIND("-",$A63&amp;"-")-1),LabSys!$A:$A,LabSys!$E:$E,""))</f>
        <v>2.491</v>
      </c>
      <c r="I63" s="38" t="n">
        <f aca="false">IF($A63="","",_xlfn.xlookup(--LEFT($A63,FIND("-",$A63&amp;"-")-1),LabSys!$A:$A,LabSys!$B:$B,""))</f>
        <v>285</v>
      </c>
      <c r="J63" s="38" t="n">
        <f aca="false">IF($A63="","",_xlfn.xlookup(--LEFT($A63,FIND("-",$A63&amp;"-")-1),LabSys!$A:$A,LabSys!$C:$C,""))</f>
        <v>15.479</v>
      </c>
      <c r="K63" s="38" t="n">
        <f aca="false">IF($A63="","",_xlfn.xlookup(--LEFT($A63,FIND("-",$A63&amp;"-")-1),LabSys!$A:$A,LabSys!$F:$F,""))</f>
        <v>12.1</v>
      </c>
      <c r="L63" s="38" t="n">
        <f aca="false">IF($A63="","",_xlfn.xlookup(--LEFT($A63,FIND("-",$A63&amp;"-")-1),LabSys!$A:$A,LabSys!$G:$G,""))</f>
        <v>0.659</v>
      </c>
      <c r="M63" s="39" t="n">
        <v>21.1176493378203</v>
      </c>
      <c r="N63" s="39" t="n">
        <v>0.123779988860186</v>
      </c>
      <c r="O63" s="39" t="n">
        <v>420.829617490006</v>
      </c>
      <c r="P63" s="39" t="n">
        <v>1.30784355560585</v>
      </c>
      <c r="Q63" s="39" t="n">
        <v>17.6747224908947</v>
      </c>
      <c r="R63" s="39" t="n">
        <v>0.074853792454518</v>
      </c>
    </row>
    <row r="64" customFormat="false" ht="15" hidden="false" customHeight="false" outlineLevel="0" collapsed="false">
      <c r="A64" s="12" t="s">
        <v>258</v>
      </c>
      <c r="B64" s="5" t="s">
        <v>99</v>
      </c>
      <c r="C64" s="13" t="s">
        <v>111</v>
      </c>
      <c r="D64" s="14" t="n">
        <v>1</v>
      </c>
      <c r="E64" s="15" t="n">
        <v>1.574</v>
      </c>
      <c r="F64" s="16" t="n">
        <v>45807</v>
      </c>
      <c r="G64" s="38" t="n">
        <f aca="false">IF($A64="","",_xlfn.xlookup(--LEFT($A64,FIND("-",$A64&amp;"-")-1),LabSys!$A:$A,LabSys!$D:$D,""))</f>
        <v>8.44</v>
      </c>
      <c r="H64" s="38" t="n">
        <f aca="false">IF($A64="","",_xlfn.xlookup(--LEFT($A64,FIND("-",$A64&amp;"-")-1),LabSys!$A:$A,LabSys!$E:$E,""))</f>
        <v>1.74</v>
      </c>
      <c r="I64" s="38" t="n">
        <f aca="false">IF($A64="","",_xlfn.xlookup(--LEFT($A64,FIND("-",$A64&amp;"-")-1),LabSys!$A:$A,LabSys!$B:$B,""))</f>
        <v>225</v>
      </c>
      <c r="J64" s="38" t="n">
        <f aca="false">IF($A64="","",_xlfn.xlookup(--LEFT($A64,FIND("-",$A64&amp;"-")-1),LabSys!$A:$A,LabSys!$C:$C,""))</f>
        <v>12.649</v>
      </c>
      <c r="K64" s="38" t="n">
        <f aca="false">IF($A64="","",_xlfn.xlookup(--LEFT($A64,FIND("-",$A64&amp;"-")-1),LabSys!$A:$A,LabSys!$F:$F,""))</f>
        <v>8.17</v>
      </c>
      <c r="L64" s="38" t="n">
        <f aca="false">IF($A64="","",_xlfn.xlookup(--LEFT($A64,FIND("-",$A64&amp;"-")-1),LabSys!$A:$A,LabSys!$G:$G,""))</f>
        <v>0.45</v>
      </c>
      <c r="M64" s="39" t="n">
        <v>12.5473147260278</v>
      </c>
      <c r="N64" s="39" t="n">
        <v>0.0873397001067322</v>
      </c>
      <c r="O64" s="39" t="n">
        <v>378.195568120048</v>
      </c>
      <c r="P64" s="39" t="n">
        <v>0.834311152688816</v>
      </c>
      <c r="Q64" s="39" t="n">
        <v>13.0401498880318</v>
      </c>
      <c r="R64" s="39" t="n">
        <v>0.0528171624915379</v>
      </c>
    </row>
    <row r="65" customFormat="false" ht="15" hidden="false" customHeight="false" outlineLevel="0" collapsed="false">
      <c r="A65" s="12" t="s">
        <v>259</v>
      </c>
      <c r="B65" s="5" t="s">
        <v>99</v>
      </c>
      <c r="C65" s="13" t="s">
        <v>108</v>
      </c>
      <c r="D65" s="14" t="n">
        <v>1</v>
      </c>
      <c r="E65" s="15" t="n">
        <v>1.72</v>
      </c>
      <c r="F65" s="16" t="n">
        <v>45666</v>
      </c>
      <c r="G65" s="38" t="n">
        <f aca="false">IF($A65="","",_xlfn.xlookup(--LEFT($A65,FIND("-",$A65&amp;"-")-1),LabSys!$A:$A,LabSys!$D:$D,""))</f>
        <v>15.6</v>
      </c>
      <c r="H65" s="38" t="n">
        <f aca="false">IF($A65="","",_xlfn.xlookup(--LEFT($A65,FIND("-",$A65&amp;"-")-1),LabSys!$A:$A,LabSys!$E:$E,""))</f>
        <v>2.37</v>
      </c>
      <c r="I65" s="38" t="n">
        <f aca="false">IF($A65="","",_xlfn.xlookup(--LEFT($A65,FIND("-",$A65&amp;"-")-1),LabSys!$A:$A,LabSys!$B:$B,""))</f>
        <v>403</v>
      </c>
      <c r="J65" s="38" t="n">
        <f aca="false">IF($A65="","",_xlfn.xlookup(--LEFT($A65,FIND("-",$A65&amp;"-")-1),LabSys!$A:$A,LabSys!$C:$C,""))</f>
        <v>20.778</v>
      </c>
      <c r="K65" s="38" t="n">
        <f aca="false">IF($A65="","",_xlfn.xlookup(--LEFT($A65,FIND("-",$A65&amp;"-")-1),LabSys!$A:$A,LabSys!$F:$F,""))</f>
        <v>11.1</v>
      </c>
      <c r="L65" s="38" t="n">
        <f aca="false">IF($A65="","",_xlfn.xlookup(--LEFT($A65,FIND("-",$A65&amp;"-")-1),LabSys!$A:$A,LabSys!$G:$G,""))</f>
        <v>0.624</v>
      </c>
      <c r="M65" s="39" t="n">
        <v>29.1220620349059</v>
      </c>
      <c r="N65" s="39" t="n">
        <v>0.176007533340477</v>
      </c>
      <c r="O65" s="39" t="n">
        <v>685.412954830103</v>
      </c>
      <c r="P65" s="39" t="n">
        <v>1.60885625427357</v>
      </c>
      <c r="Q65" s="39" t="n">
        <v>19.9872568263788</v>
      </c>
      <c r="R65" s="39" t="n">
        <v>0.106437490360265</v>
      </c>
    </row>
    <row r="66" customFormat="false" ht="15" hidden="false" customHeight="false" outlineLevel="0" collapsed="false">
      <c r="A66" s="12" t="s">
        <v>260</v>
      </c>
      <c r="B66" s="5" t="s">
        <v>261</v>
      </c>
      <c r="C66" s="13" t="s">
        <v>104</v>
      </c>
      <c r="D66" s="14" t="n">
        <v>1</v>
      </c>
      <c r="E66" s="15" t="n">
        <v>1.675</v>
      </c>
      <c r="F66" s="16" t="n">
        <v>45895</v>
      </c>
      <c r="G66" s="38" t="n">
        <f aca="false">IF($A66="","",_xlfn.xlookup(--LEFT($A66,FIND("-",$A66&amp;"-")-1),LabSys!$A:$A,LabSys!$D:$D,""))</f>
        <v>152</v>
      </c>
      <c r="H66" s="38" t="n">
        <f aca="false">IF($A66="","",_xlfn.xlookup(--LEFT($A66,FIND("-",$A66&amp;"-")-1),LabSys!$A:$A,LabSys!$E:$E,""))</f>
        <v>9.21</v>
      </c>
      <c r="I66" s="38" t="n">
        <f aca="false">IF($A66="","",_xlfn.xlookup(--LEFT($A66,FIND("-",$A66&amp;"-")-1),LabSys!$A:$A,LabSys!$B:$B,""))</f>
        <v>1390</v>
      </c>
      <c r="J66" s="38" t="n">
        <f aca="false">IF($A66="","",_xlfn.xlookup(--LEFT($A66,FIND("-",$A66&amp;"-")-1),LabSys!$A:$A,LabSys!$C:$C,""))</f>
        <v>64.73</v>
      </c>
      <c r="K66" s="38" t="n">
        <f aca="false">IF($A66="","",_xlfn.xlookup(--LEFT($A66,FIND("-",$A66&amp;"-")-1),LabSys!$A:$A,LabSys!$F:$F,""))</f>
        <v>218</v>
      </c>
      <c r="L66" s="38" t="n">
        <f aca="false">IF($A66="","",_xlfn.xlookup(--LEFT($A66,FIND("-",$A66&amp;"-")-1),LabSys!$A:$A,LabSys!$G:$G,""))</f>
        <v>8.231</v>
      </c>
      <c r="M66" s="39" t="n">
        <v>205.504888618703</v>
      </c>
      <c r="N66" s="39" t="n">
        <v>1.28944078232177</v>
      </c>
      <c r="O66" s="39" t="n">
        <v>2129.15005005661</v>
      </c>
      <c r="P66" s="39" t="n">
        <v>5.66115212091897</v>
      </c>
      <c r="Q66" s="39" t="n">
        <v>321.825703976623</v>
      </c>
      <c r="R66" s="39" t="n">
        <v>0.779766855620965</v>
      </c>
    </row>
    <row r="67" customFormat="false" ht="15" hidden="false" customHeight="false" outlineLevel="0" collapsed="false">
      <c r="A67" s="12" t="s">
        <v>266</v>
      </c>
      <c r="B67" s="5" t="s">
        <v>200</v>
      </c>
      <c r="C67" s="13" t="s">
        <v>97</v>
      </c>
      <c r="D67" s="14" t="n">
        <v>1</v>
      </c>
      <c r="E67" s="15" t="n">
        <v>1.811</v>
      </c>
      <c r="F67" s="16" t="n">
        <v>45897</v>
      </c>
      <c r="G67" s="38" t="n">
        <f aca="false">IF($A67="","",_xlfn.xlookup(--LEFT($A67,FIND("-",$A67&amp;"-")-1),LabSys!$A:$A,LabSys!$D:$D,""))</f>
        <v>19</v>
      </c>
      <c r="H67" s="38" t="n">
        <f aca="false">IF($A67="","",_xlfn.xlookup(--LEFT($A67,FIND("-",$A67&amp;"-")-1),LabSys!$A:$A,LabSys!$E:$E,""))</f>
        <v>2.635</v>
      </c>
      <c r="I67" s="38" t="n">
        <f aca="false">IF($A67="","",_xlfn.xlookup(--LEFT($A67,FIND("-",$A67&amp;"-")-1),LabSys!$A:$A,LabSys!$B:$B,""))</f>
        <v>597</v>
      </c>
      <c r="J67" s="38" t="n">
        <f aca="false">IF($A67="","",_xlfn.xlookup(--LEFT($A67,FIND("-",$A67&amp;"-")-1),LabSys!$A:$A,LabSys!$C:$C,""))</f>
        <v>29.443</v>
      </c>
      <c r="K67" s="38" t="n">
        <f aca="false">IF($A67="","",_xlfn.xlookup(--LEFT($A67,FIND("-",$A67&amp;"-")-1),LabSys!$A:$A,LabSys!$F:$F,""))</f>
        <v>14.6</v>
      </c>
      <c r="L67" s="38" t="n">
        <f aca="false">IF($A67="","",_xlfn.xlookup(--LEFT($A67,FIND("-",$A67&amp;"-")-1),LabSys!$A:$A,LabSys!$G:$G,""))</f>
        <v>0.755</v>
      </c>
      <c r="M67" s="39" t="n">
        <v>36.5487628189257</v>
      </c>
      <c r="N67" s="39" t="n">
        <v>0.251676692859633</v>
      </c>
      <c r="O67" s="39" t="n">
        <v>1019.32787846624</v>
      </c>
      <c r="P67" s="39" t="n">
        <v>2.55518379395097</v>
      </c>
      <c r="Q67" s="39" t="n">
        <v>25.7926461167386</v>
      </c>
      <c r="R67" s="39" t="n">
        <v>0.152197096690918</v>
      </c>
    </row>
    <row r="68" customFormat="false" ht="15" hidden="false" customHeight="false" outlineLevel="0" collapsed="false">
      <c r="A68" s="12" t="s">
        <v>267</v>
      </c>
      <c r="B68" s="5" t="s">
        <v>268</v>
      </c>
      <c r="C68" s="13" t="s">
        <v>93</v>
      </c>
      <c r="D68" s="14" t="n">
        <v>1</v>
      </c>
      <c r="E68" s="15" t="n">
        <v>1.672</v>
      </c>
      <c r="F68" s="16" t="n">
        <v>45897</v>
      </c>
      <c r="G68" s="38" t="n">
        <f aca="false">IF($A68="","",_xlfn.xlookup(--LEFT($A68,FIND("-",$A68&amp;"-")-1),LabSys!$A:$A,LabSys!$D:$D,""))</f>
        <v>13.4</v>
      </c>
      <c r="H68" s="38" t="n">
        <f aca="false">IF($A68="","",_xlfn.xlookup(--LEFT($A68,FIND("-",$A68&amp;"-")-1),LabSys!$A:$A,LabSys!$E:$E,""))</f>
        <v>2.351</v>
      </c>
      <c r="I68" s="38" t="n">
        <f aca="false">IF($A68="","",_xlfn.xlookup(--LEFT($A68,FIND("-",$A68&amp;"-")-1),LabSys!$A:$A,LabSys!$B:$B,""))</f>
        <v>334</v>
      </c>
      <c r="J68" s="38" t="n">
        <f aca="false">IF($A68="","",_xlfn.xlookup(--LEFT($A68,FIND("-",$A68&amp;"-")-1),LabSys!$A:$A,LabSys!$C:$C,""))</f>
        <v>17.427</v>
      </c>
      <c r="K68" s="38" t="n">
        <f aca="false">IF($A68="","",_xlfn.xlookup(--LEFT($A68,FIND("-",$A68&amp;"-")-1),LabSys!$A:$A,LabSys!$F:$F,""))</f>
        <v>18.3</v>
      </c>
      <c r="L68" s="38" t="n">
        <f aca="false">IF($A68="","",_xlfn.xlookup(--LEFT($A68,FIND("-",$A68&amp;"-")-1),LabSys!$A:$A,LabSys!$G:$G,""))</f>
        <v>0.897</v>
      </c>
      <c r="M68" s="39" t="n">
        <v>22.4465418372651</v>
      </c>
      <c r="N68" s="39" t="n">
        <v>0.167418051470893</v>
      </c>
      <c r="O68" s="39" t="n">
        <v>546.1995315441</v>
      </c>
      <c r="P68" s="39" t="n">
        <v>1.35380586580411</v>
      </c>
      <c r="Q68" s="39" t="n">
        <v>29.3012820644587</v>
      </c>
      <c r="R68" s="39" t="n">
        <v>0.101243150797964</v>
      </c>
    </row>
    <row r="69" customFormat="false" ht="15" hidden="false" customHeight="false" outlineLevel="0" collapsed="false">
      <c r="A69" s="12" t="s">
        <v>276</v>
      </c>
      <c r="B69" s="5" t="s">
        <v>99</v>
      </c>
      <c r="C69" s="13" t="s">
        <v>80</v>
      </c>
      <c r="D69" s="14" t="n">
        <v>1</v>
      </c>
      <c r="E69" s="15" t="n">
        <v>1.611</v>
      </c>
      <c r="F69" s="16" t="n">
        <v>45862</v>
      </c>
      <c r="G69" s="38" t="n">
        <f aca="false">IF($A69="","",_xlfn.xlookup(--LEFT($A69,FIND("-",$A69&amp;"-")-1),LabSys!$A:$A,LabSys!$D:$D,""))</f>
        <v>33.7</v>
      </c>
      <c r="H69" s="38" t="n">
        <f aca="false">IF($A69="","",_xlfn.xlookup(--LEFT($A69,FIND("-",$A69&amp;"-")-1),LabSys!$A:$A,LabSys!$E:$E,""))</f>
        <v>3.585</v>
      </c>
      <c r="I69" s="38" t="n">
        <f aca="false">IF($A69="","",_xlfn.xlookup(--LEFT($A69,FIND("-",$A69&amp;"-")-1),LabSys!$A:$A,LabSys!$B:$B,""))</f>
        <v>579</v>
      </c>
      <c r="J69" s="38" t="n">
        <f aca="false">IF($A69="","",_xlfn.xlookup(--LEFT($A69,FIND("-",$A69&amp;"-")-1),LabSys!$A:$A,LabSys!$C:$C,""))</f>
        <v>29.688</v>
      </c>
      <c r="K69" s="38" t="n">
        <f aca="false">IF($A69="","",_xlfn.xlookup(--LEFT($A69,FIND("-",$A69&amp;"-")-1),LabSys!$A:$A,LabSys!$F:$F,""))</f>
        <v>35.3</v>
      </c>
      <c r="L69" s="38" t="n">
        <f aca="false">IF($A69="","",_xlfn.xlookup(--LEFT($A69,FIND("-",$A69&amp;"-")-1),LabSys!$A:$A,LabSys!$G:$G,""))</f>
        <v>1.642</v>
      </c>
      <c r="M69" s="39" t="n">
        <v>51.4789379674962</v>
      </c>
      <c r="N69" s="39" t="n">
        <v>0.299264270022557</v>
      </c>
      <c r="O69" s="39" t="n">
        <v>915.363158300895</v>
      </c>
      <c r="P69" s="39" t="n">
        <v>2.51354828797748</v>
      </c>
      <c r="Q69" s="39" t="n">
        <v>55.2810277404063</v>
      </c>
      <c r="R69" s="39" t="n">
        <v>0.180974855173272</v>
      </c>
    </row>
    <row r="70" customFormat="false" ht="15" hidden="false" customHeight="false" outlineLevel="0" collapsed="false">
      <c r="A70" s="12" t="s">
        <v>277</v>
      </c>
      <c r="B70" s="5" t="s">
        <v>17</v>
      </c>
      <c r="C70" s="13" t="s">
        <v>76</v>
      </c>
      <c r="D70" s="14" t="n">
        <v>1</v>
      </c>
      <c r="E70" s="15" t="n">
        <v>1.2</v>
      </c>
      <c r="F70" s="16" t="n">
        <v>45951</v>
      </c>
      <c r="G70" s="38" t="n">
        <f aca="false">IF($A70="","",_xlfn.xlookup(--LEFT($A70,FIND("-",$A70&amp;"-")-1),LabSys!$A:$A,LabSys!$D:$D,""))</f>
        <v>55.8</v>
      </c>
      <c r="H70" s="38" t="n">
        <f aca="false">IF($A70="","",_xlfn.xlookup(--LEFT($A70,FIND("-",$A70&amp;"-")-1),LabSys!$A:$A,LabSys!$E:$E,""))</f>
        <v>3.35</v>
      </c>
      <c r="I70" s="38" t="n">
        <f aca="false">IF($A70="","",_xlfn.xlookup(--LEFT($A70,FIND("-",$A70&amp;"-")-1),LabSys!$A:$A,LabSys!$B:$B,""))</f>
        <v>149</v>
      </c>
      <c r="J70" s="38" t="n">
        <f aca="false">IF($A70="","",_xlfn.xlookup(--LEFT($A70,FIND("-",$A70&amp;"-")-1),LabSys!$A:$A,LabSys!$C:$C,""))</f>
        <v>8.94</v>
      </c>
      <c r="K70" s="38" t="n">
        <f aca="false">IF($A70="","",_xlfn.xlookup(--LEFT($A70,FIND("-",$A70&amp;"-")-1),LabSys!$A:$A,LabSys!$F:$F,""))</f>
        <v>63.3</v>
      </c>
      <c r="L70" s="38" t="n">
        <f aca="false">IF($A70="","",_xlfn.xlookup(--LEFT($A70,FIND("-",$A70&amp;"-")-1),LabSys!$A:$A,LabSys!$G:$G,""))</f>
        <v>3.8</v>
      </c>
      <c r="M70" s="39" t="n">
        <v>75.3535134500843</v>
      </c>
      <c r="N70" s="39" t="n">
        <v>0.172817617721526</v>
      </c>
      <c r="O70" s="39" t="n">
        <v>186.64780452702</v>
      </c>
      <c r="P70" s="39" t="n">
        <v>1.36121613770868</v>
      </c>
      <c r="Q70" s="39" t="n">
        <v>73.496642279949</v>
      </c>
      <c r="R70" s="39" t="n">
        <v>0.104508444446728</v>
      </c>
    </row>
    <row r="71" customFormat="false" ht="15" hidden="false" customHeight="false" outlineLevel="0" collapsed="false">
      <c r="A71" s="12" t="s">
        <v>280</v>
      </c>
      <c r="B71" s="5" t="s">
        <v>25</v>
      </c>
      <c r="C71" s="13" t="s">
        <v>72</v>
      </c>
      <c r="D71" s="14" t="n">
        <v>1</v>
      </c>
      <c r="E71" s="15" t="n">
        <v>1.217</v>
      </c>
      <c r="F71" s="16" t="n">
        <v>45946</v>
      </c>
      <c r="G71" s="38" t="n">
        <f aca="false">IF($A71="","",_xlfn.xlookup(--LEFT($A71,FIND("-",$A71&amp;"-")-1),LabSys!$A:$A,LabSys!$D:$D,""))</f>
        <v>51.1</v>
      </c>
      <c r="H71" s="38" t="n">
        <f aca="false">IF($A71="","",_xlfn.xlookup(--LEFT($A71,FIND("-",$A71&amp;"-")-1),LabSys!$A:$A,LabSys!$E:$E,""))</f>
        <v>3.07</v>
      </c>
      <c r="I71" s="38" t="n">
        <f aca="false">IF($A71="","",_xlfn.xlookup(--LEFT($A71,FIND("-",$A71&amp;"-")-1),LabSys!$A:$A,LabSys!$B:$B,""))</f>
        <v>135</v>
      </c>
      <c r="J71" s="38" t="n">
        <f aca="false">IF($A71="","",_xlfn.xlookup(--LEFT($A71,FIND("-",$A71&amp;"-")-1),LabSys!$A:$A,LabSys!$C:$C,""))</f>
        <v>8.1</v>
      </c>
      <c r="K71" s="38" t="n">
        <f aca="false">IF($A71="","",_xlfn.xlookup(--LEFT($A71,FIND("-",$A71&amp;"-")-1),LabSys!$A:$A,LabSys!$F:$F,""))</f>
        <v>52.1</v>
      </c>
      <c r="L71" s="38" t="n">
        <f aca="false">IF($A71="","",_xlfn.xlookup(--LEFT($A71,FIND("-",$A71&amp;"-")-1),LabSys!$A:$A,LabSys!$G:$G,""))</f>
        <v>3.13</v>
      </c>
      <c r="M71" s="39" t="n">
        <v>67.6222673893649</v>
      </c>
      <c r="N71" s="39" t="n">
        <v>0.165379328572143</v>
      </c>
      <c r="O71" s="39" t="n">
        <v>172.081192266449</v>
      </c>
      <c r="P71" s="39" t="n">
        <v>1.28861045405885</v>
      </c>
      <c r="Q71" s="39" t="n">
        <v>63.258716391464</v>
      </c>
      <c r="R71" s="39" t="n">
        <v>0.100010268632271</v>
      </c>
    </row>
    <row r="72" customFormat="false" ht="15" hidden="false" customHeight="false" outlineLevel="0" collapsed="false">
      <c r="A72" s="12" t="s">
        <v>283</v>
      </c>
      <c r="B72" s="5" t="s">
        <v>88</v>
      </c>
      <c r="C72" s="13" t="s">
        <v>68</v>
      </c>
      <c r="D72" s="14" t="n">
        <v>1</v>
      </c>
      <c r="E72" s="15" t="n">
        <v>0.922</v>
      </c>
      <c r="F72" s="16" t="n">
        <v>45922</v>
      </c>
      <c r="G72" s="38" t="n">
        <f aca="false">IF($A72="","",_xlfn.xlookup(--LEFT($A72,FIND("-",$A72&amp;"-")-1),LabSys!$A:$A,LabSys!$D:$D,""))</f>
        <v>83</v>
      </c>
      <c r="H72" s="38" t="n">
        <f aca="false">IF($A72="","",_xlfn.xlookup(--LEFT($A72,FIND("-",$A72&amp;"-")-1),LabSys!$A:$A,LabSys!$E:$E,""))</f>
        <v>6.4</v>
      </c>
      <c r="I72" s="38" t="n">
        <f aca="false">IF($A72="","",_xlfn.xlookup(--LEFT($A72,FIND("-",$A72&amp;"-")-1),LabSys!$A:$A,LabSys!$B:$B,""))</f>
        <v>359</v>
      </c>
      <c r="J72" s="38" t="n">
        <f aca="false">IF($A72="","",_xlfn.xlookup(--LEFT($A72,FIND("-",$A72&amp;"-")-1),LabSys!$A:$A,LabSys!$C:$C,""))</f>
        <v>19.67</v>
      </c>
      <c r="K72" s="38" t="n">
        <f aca="false">IF($A72="","",_xlfn.xlookup(--LEFT($A72,FIND("-",$A72&amp;"-")-1),LabSys!$A:$A,LabSys!$F:$F,""))</f>
        <v>68.4</v>
      </c>
      <c r="L72" s="38" t="n">
        <f aca="false">IF($A72="","",_xlfn.xlookup(--LEFT($A72,FIND("-",$A72&amp;"-")-1),LabSys!$A:$A,LabSys!$G:$G,""))</f>
        <v>3.068</v>
      </c>
      <c r="M72" s="39" t="n">
        <v>109.858482571859</v>
      </c>
      <c r="N72" s="39" t="n">
        <v>0.211466779761344</v>
      </c>
      <c r="O72" s="39" t="n">
        <v>401.404667249216</v>
      </c>
      <c r="P72" s="39" t="n">
        <v>2.06550625886161</v>
      </c>
      <c r="Q72" s="39" t="n">
        <v>65.7144505213019</v>
      </c>
      <c r="R72" s="39" t="n">
        <v>0.127880852058894</v>
      </c>
    </row>
    <row r="73" customFormat="false" ht="15" hidden="false" customHeight="false" outlineLevel="0" collapsed="false">
      <c r="A73" s="12" t="s">
        <v>284</v>
      </c>
      <c r="B73" s="5" t="s">
        <v>99</v>
      </c>
      <c r="C73" s="13" t="s">
        <v>61</v>
      </c>
      <c r="D73" s="14" t="n">
        <v>1</v>
      </c>
      <c r="E73" s="15" t="n">
        <v>1.547</v>
      </c>
      <c r="F73" s="16" t="n">
        <v>45923</v>
      </c>
      <c r="G73" s="38" t="n">
        <f aca="false">IF($A73="","",_xlfn.xlookup(--LEFT($A73,FIND("-",$A73&amp;"-")-1),LabSys!$A:$A,LabSys!$D:$D,""))</f>
        <v>17.5</v>
      </c>
      <c r="H73" s="38" t="n">
        <f aca="false">IF($A73="","",_xlfn.xlookup(--LEFT($A73,FIND("-",$A73&amp;"-")-1),LabSys!$A:$A,LabSys!$E:$E,""))</f>
        <v>2.418</v>
      </c>
      <c r="I73" s="38" t="n">
        <f aca="false">IF($A73="","",_xlfn.xlookup(--LEFT($A73,FIND("-",$A73&amp;"-")-1),LabSys!$A:$A,LabSys!$B:$B,""))</f>
        <v>346</v>
      </c>
      <c r="J73" s="38" t="n">
        <f aca="false">IF($A73="","",_xlfn.xlookup(--LEFT($A73,FIND("-",$A73&amp;"-")-1),LabSys!$A:$A,LabSys!$C:$C,""))</f>
        <v>18.288</v>
      </c>
      <c r="K73" s="38" t="n">
        <f aca="false">IF($A73="","",_xlfn.xlookup(--LEFT($A73,FIND("-",$A73&amp;"-")-1),LabSys!$A:$A,LabSys!$F:$F,""))</f>
        <v>17.9</v>
      </c>
      <c r="L73" s="38" t="n">
        <f aca="false">IF($A73="","",_xlfn.xlookup(--LEFT($A73,FIND("-",$A73&amp;"-")-1),LabSys!$A:$A,LabSys!$G:$G,""))</f>
        <v>0.905</v>
      </c>
      <c r="M73" s="39" t="n">
        <v>25.5174719723699</v>
      </c>
      <c r="N73" s="39" t="n">
        <v>0.155581924173589</v>
      </c>
      <c r="O73" s="39" t="n">
        <v>562.085264200294</v>
      </c>
      <c r="P73" s="39" t="n">
        <v>1.36489974058699</v>
      </c>
      <c r="Q73" s="39" t="n">
        <v>27.1673433774415</v>
      </c>
      <c r="R73" s="39" t="n">
        <v>0.0940854589583046</v>
      </c>
    </row>
    <row r="74" customFormat="false" ht="15" hidden="false" customHeight="false" outlineLevel="0" collapsed="false">
      <c r="A74" s="12" t="s">
        <v>295</v>
      </c>
      <c r="B74" s="5" t="s">
        <v>296</v>
      </c>
      <c r="C74" s="13" t="s">
        <v>59</v>
      </c>
      <c r="D74" s="14" t="n">
        <v>1</v>
      </c>
      <c r="E74" s="15" t="n">
        <v>0.992</v>
      </c>
      <c r="F74" s="16" t="n">
        <v>45972</v>
      </c>
      <c r="G74" s="38" t="n">
        <f aca="false">IF($A74="","",_xlfn.xlookup(--LEFT($A74,FIND("-",$A74&amp;"-")-1),LabSys!$A:$A,LabSys!$D:$D,""))</f>
        <v>111</v>
      </c>
      <c r="H74" s="38" t="n">
        <f aca="false">IF($A74="","",_xlfn.xlookup(--LEFT($A74,FIND("-",$A74&amp;"-")-1),LabSys!$A:$A,LabSys!$E:$E,""))</f>
        <v>6.67</v>
      </c>
      <c r="I74" s="38" t="n">
        <f aca="false">IF($A74="","",_xlfn.xlookup(--LEFT($A74,FIND("-",$A74&amp;"-")-1),LabSys!$A:$A,LabSys!$B:$B,""))</f>
        <v>363</v>
      </c>
      <c r="J74" s="38" t="n">
        <f aca="false">IF($A74="","",_xlfn.xlookup(--LEFT($A74,FIND("-",$A74&amp;"-")-1),LabSys!$A:$A,LabSys!$C:$C,""))</f>
        <v>21.78</v>
      </c>
      <c r="K74" s="38" t="n">
        <f aca="false">IF($A74="","",_xlfn.xlookup(--LEFT($A74,FIND("-",$A74&amp;"-")-1),LabSys!$A:$A,LabSys!$F:$F,""))</f>
        <v>98.8</v>
      </c>
      <c r="L74" s="38" t="n">
        <f aca="false">IF($A74="","",_xlfn.xlookup(--LEFT($A74,FIND("-",$A74&amp;"-")-1),LabSys!$A:$A,LabSys!$G:$G,""))</f>
        <v>5.93</v>
      </c>
      <c r="M74" s="39" t="n">
        <v>129.973104204756</v>
      </c>
      <c r="N74" s="39" t="n">
        <v>0.291247007429223</v>
      </c>
      <c r="O74" s="39" t="n">
        <v>381.51206049709</v>
      </c>
      <c r="P74" s="39" t="n">
        <v>2.47440515610021</v>
      </c>
      <c r="Q74" s="39" t="n">
        <v>104.81211312457</v>
      </c>
      <c r="R74" s="39" t="n">
        <v>0.152163769513744</v>
      </c>
    </row>
    <row r="75" customFormat="false" ht="15" hidden="false" customHeight="false" outlineLevel="0" collapsed="false">
      <c r="A75" s="12" t="s">
        <v>297</v>
      </c>
      <c r="B75" s="5" t="s">
        <v>21</v>
      </c>
      <c r="C75" s="13" t="s">
        <v>57</v>
      </c>
      <c r="D75" s="14" t="n">
        <v>1</v>
      </c>
      <c r="E75" s="15" t="n">
        <v>1.164</v>
      </c>
      <c r="F75" s="16" t="n">
        <v>45972</v>
      </c>
      <c r="G75" s="38" t="n">
        <f aca="false">IF($A75="","",_xlfn.xlookup(--LEFT($A75,FIND("-",$A75&amp;"-")-1),LabSys!$A:$A,LabSys!$D:$D,""))</f>
        <v>107</v>
      </c>
      <c r="H75" s="38" t="n">
        <f aca="false">IF($A75="","",_xlfn.xlookup(--LEFT($A75,FIND("-",$A75&amp;"-")-1),LabSys!$A:$A,LabSys!$E:$E,""))</f>
        <v>6.42</v>
      </c>
      <c r="I75" s="38" t="n">
        <f aca="false">IF($A75="","",_xlfn.xlookup(--LEFT($A75,FIND("-",$A75&amp;"-")-1),LabSys!$A:$A,LabSys!$B:$B,""))</f>
        <v>361</v>
      </c>
      <c r="J75" s="38" t="n">
        <f aca="false">IF($A75="","",_xlfn.xlookup(--LEFT($A75,FIND("-",$A75&amp;"-")-1),LabSys!$A:$A,LabSys!$C:$C,""))</f>
        <v>21.63</v>
      </c>
      <c r="K75" s="38" t="n">
        <f aca="false">IF($A75="","",_xlfn.xlookup(--LEFT($A75,FIND("-",$A75&amp;"-")-1),LabSys!$A:$A,LabSys!$F:$F,""))</f>
        <v>96.4</v>
      </c>
      <c r="L75" s="38" t="n">
        <f aca="false">IF($A75="","",_xlfn.xlookup(--LEFT($A75,FIND("-",$A75&amp;"-")-1),LabSys!$A:$A,LabSys!$G:$G,""))</f>
        <v>5.78</v>
      </c>
      <c r="M75" s="39" t="n">
        <v>145.867585702761</v>
      </c>
      <c r="N75" s="39" t="n">
        <v>0.362427459821697</v>
      </c>
      <c r="O75" s="39" t="n">
        <v>420.988686146585</v>
      </c>
      <c r="P75" s="39" t="n">
        <v>2.65020323609912</v>
      </c>
      <c r="Q75" s="39" t="n">
        <v>113.714605825187</v>
      </c>
      <c r="R75" s="39" t="n">
        <v>0.189352429570155</v>
      </c>
    </row>
    <row r="76" customFormat="false" ht="15" hidden="false" customHeight="false" outlineLevel="0" collapsed="false">
      <c r="A76" s="12" t="s">
        <v>298</v>
      </c>
      <c r="B76" s="5" t="s">
        <v>299</v>
      </c>
      <c r="C76" s="13" t="s">
        <v>50</v>
      </c>
      <c r="D76" s="14" t="n">
        <v>1</v>
      </c>
      <c r="E76" s="15" t="n">
        <v>0.948</v>
      </c>
      <c r="F76" s="16" t="n">
        <v>45975</v>
      </c>
      <c r="G76" s="38" t="n">
        <f aca="false">IF($A76="","",_xlfn.xlookup(--LEFT($A76,FIND("-",$A76&amp;"-")-1),LabSys!$A:$A,LabSys!$D:$D,""))</f>
        <v>106</v>
      </c>
      <c r="H76" s="38" t="n">
        <f aca="false">IF($A76="","",_xlfn.xlookup(--LEFT($A76,FIND("-",$A76&amp;"-")-1),LabSys!$A:$A,LabSys!$E:$E,""))</f>
        <v>6.38</v>
      </c>
      <c r="I76" s="38" t="n">
        <f aca="false">IF($A76="","",_xlfn.xlookup(--LEFT($A76,FIND("-",$A76&amp;"-")-1),LabSys!$A:$A,LabSys!$B:$B,""))</f>
        <v>189</v>
      </c>
      <c r="J76" s="38" t="n">
        <f aca="false">IF($A76="","",_xlfn.xlookup(--LEFT($A76,FIND("-",$A76&amp;"-")-1),LabSys!$A:$A,LabSys!$C:$C,""))</f>
        <v>11.36</v>
      </c>
      <c r="K76" s="38" t="n">
        <f aca="false">IF($A76="","",_xlfn.xlookup(--LEFT($A76,FIND("-",$A76&amp;"-")-1),LabSys!$A:$A,LabSys!$F:$F,""))</f>
        <v>90.6</v>
      </c>
      <c r="L76" s="38" t="n">
        <f aca="false">IF($A76="","",_xlfn.xlookup(--LEFT($A76,FIND("-",$A76&amp;"-")-1),LabSys!$A:$A,LabSys!$G:$G,""))</f>
        <v>5.44</v>
      </c>
      <c r="M76" s="39" t="n">
        <v>111.681420045883</v>
      </c>
      <c r="N76" s="39" t="n">
        <v>0.223558130377504</v>
      </c>
      <c r="O76" s="39" t="n">
        <v>182.918432074164</v>
      </c>
      <c r="P76" s="39" t="n">
        <v>1.98820330544711</v>
      </c>
      <c r="Q76" s="39" t="n">
        <v>83.0300226345139</v>
      </c>
      <c r="R76" s="39" t="n">
        <v>0.116799304219298</v>
      </c>
    </row>
    <row r="77" customFormat="false" ht="15" hidden="false" customHeight="false" outlineLevel="0" collapsed="false">
      <c r="A77" s="12" t="s">
        <v>307</v>
      </c>
      <c r="B77" s="5" t="s">
        <v>88</v>
      </c>
      <c r="C77" s="13" t="s">
        <v>47</v>
      </c>
      <c r="D77" s="14" t="n">
        <v>1</v>
      </c>
      <c r="E77" s="15" t="n">
        <v>0.765</v>
      </c>
      <c r="F77" s="16" t="n">
        <v>45960</v>
      </c>
      <c r="G77" s="38" t="n">
        <f aca="false">IF($A77="","",_xlfn.xlookup(--LEFT($A77,FIND("-",$A77&amp;"-")-1),LabSys!$A:$A,LabSys!$D:$D,""))</f>
        <v>141</v>
      </c>
      <c r="H77" s="38" t="n">
        <f aca="false">IF($A77="","",_xlfn.xlookup(--LEFT($A77,FIND("-",$A77&amp;"-")-1),LabSys!$A:$A,LabSys!$E:$E,""))</f>
        <v>10.968</v>
      </c>
      <c r="I77" s="38" t="n">
        <f aca="false">IF($A77="","",_xlfn.xlookup(--LEFT($A77,FIND("-",$A77&amp;"-")-1),LabSys!$A:$A,LabSys!$B:$B,""))</f>
        <v>456</v>
      </c>
      <c r="J77" s="38" t="n">
        <f aca="false">IF($A77="","",_xlfn.xlookup(--LEFT($A77,FIND("-",$A77&amp;"-")-1),LabSys!$A:$A,LabSys!$C:$C,""))</f>
        <v>28.142</v>
      </c>
      <c r="K77" s="38" t="n">
        <f aca="false">IF($A77="","",_xlfn.xlookup(--LEFT($A77,FIND("-",$A77&amp;"-")-1),LabSys!$A:$A,LabSys!$F:$F,""))</f>
        <v>92.2</v>
      </c>
      <c r="L77" s="38" t="n">
        <f aca="false">IF($A77="","",_xlfn.xlookup(--LEFT($A77,FIND("-",$A77&amp;"-")-1),LabSys!$A:$A,LabSys!$G:$G,""))</f>
        <v>4.429</v>
      </c>
      <c r="M77" s="39" t="n">
        <v>135.431181757324</v>
      </c>
      <c r="N77" s="39" t="n">
        <v>0.295328131996548</v>
      </c>
      <c r="O77" s="39" t="n">
        <v>408.644194763882</v>
      </c>
      <c r="P77" s="39" t="n">
        <v>2.33772092773898</v>
      </c>
      <c r="Q77" s="39" t="n">
        <v>79.214718679195</v>
      </c>
      <c r="R77" s="39" t="n">
        <v>0.154295977852984</v>
      </c>
    </row>
  </sheetData>
  <mergeCells count="8">
    <mergeCell ref="G1:L1"/>
    <mergeCell ref="M1:R1"/>
    <mergeCell ref="G2:H2"/>
    <mergeCell ref="I2:J2"/>
    <mergeCell ref="K2:L2"/>
    <mergeCell ref="M2:N2"/>
    <mergeCell ref="O2:P2"/>
    <mergeCell ref="Q2:R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:K9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2" width="28.42"/>
    <col collapsed="false" customWidth="true" hidden="false" outlineLevel="0" max="3" min="3" style="2" width="13.15"/>
    <col collapsed="false" customWidth="true" hidden="false" outlineLevel="0" max="4" min="4" style="2" width="9.42"/>
    <col collapsed="false" customWidth="true" hidden="false" outlineLevel="0" max="5" min="5" style="2" width="14"/>
    <col collapsed="false" customWidth="true" hidden="false" outlineLevel="0" max="6" min="6" style="2" width="9.57"/>
    <col collapsed="false" customWidth="true" hidden="false" outlineLevel="0" max="7" min="7" style="3" width="12.42"/>
    <col collapsed="false" customWidth="true" hidden="false" outlineLevel="0" max="8" min="8" style="1" width="7"/>
    <col collapsed="false" customWidth="true" hidden="false" outlineLevel="0" max="13" min="9" style="1" width="6.29"/>
  </cols>
  <sheetData>
    <row r="1" customFormat="false" ht="15" hidden="false" customHeight="false" outlineLevel="0" collapsed="false">
      <c r="A1" s="40" t="s">
        <v>0</v>
      </c>
      <c r="B1" s="40" t="s">
        <v>1</v>
      </c>
      <c r="C1" s="40" t="s">
        <v>2</v>
      </c>
      <c r="D1" s="40" t="s">
        <v>3</v>
      </c>
      <c r="E1" s="41" t="s">
        <v>4</v>
      </c>
      <c r="F1" s="40" t="s">
        <v>327</v>
      </c>
      <c r="G1" s="42" t="s">
        <v>324</v>
      </c>
      <c r="H1" s="43" t="s">
        <v>328</v>
      </c>
      <c r="I1" s="43" t="s">
        <v>329</v>
      </c>
      <c r="J1" s="43" t="s">
        <v>330</v>
      </c>
      <c r="K1" s="43" t="s">
        <v>331</v>
      </c>
      <c r="L1" s="43" t="s">
        <v>332</v>
      </c>
      <c r="M1" s="43" t="s">
        <v>333</v>
      </c>
    </row>
    <row r="2" customFormat="false" ht="15" hidden="false" customHeight="false" outlineLevel="0" collapsed="false">
      <c r="A2" s="38" t="s">
        <v>16</v>
      </c>
      <c r="B2" s="44" t="s">
        <v>17</v>
      </c>
      <c r="C2" s="45" t="s">
        <v>18</v>
      </c>
      <c r="D2" s="46" t="n">
        <v>1</v>
      </c>
      <c r="E2" s="44" t="n">
        <v>1.011</v>
      </c>
      <c r="F2" s="47" t="s">
        <v>334</v>
      </c>
      <c r="G2" s="48" t="n">
        <v>45574</v>
      </c>
      <c r="H2" s="38" t="n">
        <v>51.7</v>
      </c>
      <c r="I2" s="38" t="n">
        <v>3.1</v>
      </c>
      <c r="J2" s="38" t="n">
        <v>143</v>
      </c>
      <c r="K2" s="38" t="n">
        <v>8.58</v>
      </c>
      <c r="L2" s="38" t="n">
        <v>59.7</v>
      </c>
      <c r="M2" s="38" t="n">
        <v>3.58</v>
      </c>
    </row>
    <row r="3" customFormat="false" ht="15" hidden="false" customHeight="false" outlineLevel="0" collapsed="false">
      <c r="A3" s="38" t="s">
        <v>20</v>
      </c>
      <c r="B3" s="44" t="s">
        <v>21</v>
      </c>
      <c r="C3" s="45" t="s">
        <v>22</v>
      </c>
      <c r="D3" s="46" t="n">
        <v>1</v>
      </c>
      <c r="E3" s="44" t="n">
        <v>0.926</v>
      </c>
      <c r="F3" s="47" t="s">
        <v>334</v>
      </c>
      <c r="G3" s="48" t="n">
        <v>45572</v>
      </c>
      <c r="H3" s="38" t="n">
        <v>64.3</v>
      </c>
      <c r="I3" s="38" t="n">
        <v>3.86</v>
      </c>
      <c r="J3" s="38" t="n">
        <v>170</v>
      </c>
      <c r="K3" s="38" t="n">
        <v>10.17</v>
      </c>
      <c r="L3" s="38" t="n">
        <v>70.7</v>
      </c>
      <c r="M3" s="38" t="n">
        <v>4.24</v>
      </c>
    </row>
    <row r="4" customFormat="false" ht="15" hidden="false" customHeight="false" outlineLevel="0" collapsed="false">
      <c r="A4" s="38" t="s">
        <v>24</v>
      </c>
      <c r="B4" s="44" t="s">
        <v>25</v>
      </c>
      <c r="C4" s="45" t="s">
        <v>26</v>
      </c>
      <c r="D4" s="46" t="n">
        <v>1</v>
      </c>
      <c r="E4" s="44" t="n">
        <v>0.948</v>
      </c>
      <c r="F4" s="47" t="s">
        <v>334</v>
      </c>
      <c r="G4" s="48" t="n">
        <v>45574</v>
      </c>
      <c r="H4" s="38" t="n">
        <v>58.4</v>
      </c>
      <c r="I4" s="38" t="n">
        <v>3.5</v>
      </c>
      <c r="J4" s="38" t="n">
        <v>175</v>
      </c>
      <c r="K4" s="38" t="n">
        <v>10.51</v>
      </c>
      <c r="L4" s="38" t="n">
        <v>58.2</v>
      </c>
      <c r="M4" s="38" t="n">
        <v>3.49</v>
      </c>
    </row>
    <row r="5" customFormat="false" ht="15" hidden="false" customHeight="false" outlineLevel="0" collapsed="false">
      <c r="A5" s="38" t="s">
        <v>28</v>
      </c>
      <c r="B5" s="44" t="s">
        <v>29</v>
      </c>
      <c r="C5" s="45" t="s">
        <v>30</v>
      </c>
      <c r="D5" s="46" t="n">
        <v>1</v>
      </c>
      <c r="E5" s="44" t="n">
        <v>0.893</v>
      </c>
      <c r="F5" s="47" t="s">
        <v>334</v>
      </c>
      <c r="G5" s="48" t="n">
        <v>45590</v>
      </c>
      <c r="H5" s="38" t="n">
        <v>57.8</v>
      </c>
      <c r="I5" s="38" t="n">
        <v>3.47</v>
      </c>
      <c r="J5" s="38" t="n">
        <v>227</v>
      </c>
      <c r="K5" s="38" t="n">
        <v>13.63</v>
      </c>
      <c r="L5" s="38" t="n">
        <v>59.3</v>
      </c>
      <c r="M5" s="38" t="n">
        <v>3.56</v>
      </c>
    </row>
    <row r="6" customFormat="false" ht="15" hidden="false" customHeight="false" outlineLevel="0" collapsed="false">
      <c r="A6" s="38" t="s">
        <v>32</v>
      </c>
      <c r="B6" s="44" t="s">
        <v>33</v>
      </c>
      <c r="C6" s="45" t="s">
        <v>34</v>
      </c>
      <c r="D6" s="46" t="n">
        <v>1</v>
      </c>
      <c r="E6" s="44" t="n">
        <v>0.989</v>
      </c>
      <c r="F6" s="47" t="s">
        <v>334</v>
      </c>
      <c r="G6" s="48" t="n">
        <v>45594</v>
      </c>
      <c r="H6" s="38" t="n">
        <v>96.2</v>
      </c>
      <c r="I6" s="38" t="n">
        <v>5.77</v>
      </c>
      <c r="J6" s="38" t="n">
        <v>322</v>
      </c>
      <c r="K6" s="38" t="n">
        <v>19.32</v>
      </c>
      <c r="L6" s="38" t="n">
        <v>86.9</v>
      </c>
      <c r="M6" s="38" t="n">
        <v>5.22</v>
      </c>
    </row>
    <row r="7" customFormat="false" ht="15" hidden="false" customHeight="false" outlineLevel="0" collapsed="false">
      <c r="A7" s="38" t="s">
        <v>36</v>
      </c>
      <c r="B7" s="44" t="s">
        <v>37</v>
      </c>
      <c r="C7" s="45" t="s">
        <v>38</v>
      </c>
      <c r="D7" s="46" t="n">
        <v>1</v>
      </c>
      <c r="E7" s="44" t="n">
        <v>0.676</v>
      </c>
      <c r="F7" s="47" t="s">
        <v>334</v>
      </c>
      <c r="G7" s="48" t="n">
        <v>45616</v>
      </c>
      <c r="H7" s="38" t="n">
        <v>71.8</v>
      </c>
      <c r="I7" s="38" t="n">
        <v>4.31</v>
      </c>
      <c r="J7" s="38" t="n">
        <v>169</v>
      </c>
      <c r="K7" s="38" t="n">
        <v>10.12</v>
      </c>
      <c r="L7" s="38" t="n">
        <v>78.7</v>
      </c>
      <c r="M7" s="38" t="n">
        <v>4.72</v>
      </c>
    </row>
    <row r="8" customFormat="false" ht="15" hidden="false" customHeight="false" outlineLevel="0" collapsed="false">
      <c r="A8" s="38" t="s">
        <v>44</v>
      </c>
      <c r="B8" s="44" t="s">
        <v>45</v>
      </c>
      <c r="C8" s="45" t="s">
        <v>46</v>
      </c>
      <c r="D8" s="46" t="n">
        <v>1</v>
      </c>
      <c r="E8" s="44" t="n">
        <v>0.888</v>
      </c>
      <c r="F8" s="47" t="s">
        <v>334</v>
      </c>
      <c r="G8" s="48" t="n">
        <v>45617</v>
      </c>
      <c r="H8" s="38" t="n">
        <v>76.3</v>
      </c>
      <c r="I8" s="38" t="n">
        <v>4.58</v>
      </c>
      <c r="J8" s="38" t="n">
        <v>118</v>
      </c>
      <c r="K8" s="38" t="n">
        <v>7.06</v>
      </c>
      <c r="L8" s="38" t="n">
        <v>70.4</v>
      </c>
      <c r="M8" s="38" t="n">
        <v>4.23</v>
      </c>
    </row>
    <row r="9" customFormat="false" ht="15" hidden="false" customHeight="false" outlineLevel="0" collapsed="false">
      <c r="A9" s="38" t="s">
        <v>48</v>
      </c>
      <c r="B9" s="44" t="s">
        <v>49</v>
      </c>
      <c r="C9" s="45" t="s">
        <v>43</v>
      </c>
      <c r="D9" s="46" t="n">
        <v>1</v>
      </c>
      <c r="E9" s="44" t="n">
        <v>1.167</v>
      </c>
      <c r="F9" s="47" t="s">
        <v>334</v>
      </c>
      <c r="G9" s="48" t="n">
        <v>45630</v>
      </c>
      <c r="H9" s="38" t="n">
        <v>49.8</v>
      </c>
      <c r="I9" s="38" t="n">
        <v>2.99</v>
      </c>
      <c r="J9" s="38" t="n">
        <v>143</v>
      </c>
      <c r="K9" s="38" t="n">
        <v>8.6</v>
      </c>
      <c r="L9" s="38" t="n">
        <v>53.8</v>
      </c>
      <c r="M9" s="38" t="n">
        <v>3.23</v>
      </c>
    </row>
    <row r="10" customFormat="false" ht="15" hidden="false" customHeight="false" outlineLevel="0" collapsed="false">
      <c r="A10" s="38" t="s">
        <v>53</v>
      </c>
      <c r="B10" s="44" t="s">
        <v>54</v>
      </c>
      <c r="C10" s="45" t="s">
        <v>39</v>
      </c>
      <c r="D10" s="46" t="n">
        <v>1</v>
      </c>
      <c r="E10" s="44" t="n">
        <v>0.697</v>
      </c>
      <c r="F10" s="47" t="s">
        <v>334</v>
      </c>
      <c r="G10" s="48" t="n">
        <v>45637</v>
      </c>
      <c r="H10" s="38" t="n">
        <v>62.6</v>
      </c>
      <c r="I10" s="38" t="n">
        <v>3.75</v>
      </c>
      <c r="J10" s="38" t="n">
        <v>252</v>
      </c>
      <c r="K10" s="38" t="n">
        <v>15.13</v>
      </c>
      <c r="L10" s="38" t="n">
        <v>59.9</v>
      </c>
      <c r="M10" s="38" t="n">
        <v>3.59</v>
      </c>
    </row>
    <row r="11" customFormat="false" ht="15" hidden="false" customHeight="false" outlineLevel="0" collapsed="false">
      <c r="A11" s="38" t="s">
        <v>55</v>
      </c>
      <c r="B11" s="44" t="s">
        <v>56</v>
      </c>
      <c r="C11" s="45" t="s">
        <v>35</v>
      </c>
      <c r="D11" s="46" t="n">
        <v>1</v>
      </c>
      <c r="E11" s="44" t="n">
        <v>1.369</v>
      </c>
      <c r="F11" s="47" t="s">
        <v>334</v>
      </c>
      <c r="G11" s="48" t="n">
        <v>45616</v>
      </c>
      <c r="H11" s="38" t="n">
        <v>34.9</v>
      </c>
      <c r="I11" s="38" t="n">
        <v>3.417</v>
      </c>
      <c r="J11" s="38" t="n">
        <v>572</v>
      </c>
      <c r="K11" s="38" t="n">
        <v>29.106</v>
      </c>
      <c r="L11" s="38" t="n">
        <v>39.4</v>
      </c>
      <c r="M11" s="38" t="n">
        <v>1.784</v>
      </c>
    </row>
    <row r="12" customFormat="false" ht="15" hidden="false" customHeight="false" outlineLevel="0" collapsed="false">
      <c r="A12" s="38" t="s">
        <v>58</v>
      </c>
      <c r="B12" s="44" t="s">
        <v>56</v>
      </c>
      <c r="C12" s="45" t="s">
        <v>31</v>
      </c>
      <c r="D12" s="46" t="n">
        <v>1</v>
      </c>
      <c r="E12" s="44" t="n">
        <v>1.289</v>
      </c>
      <c r="F12" s="47" t="s">
        <v>334</v>
      </c>
      <c r="G12" s="48" t="n">
        <v>45616</v>
      </c>
      <c r="H12" s="38" t="n">
        <v>50.7</v>
      </c>
      <c r="I12" s="38" t="n">
        <v>4.699</v>
      </c>
      <c r="J12" s="38" t="n">
        <v>602</v>
      </c>
      <c r="K12" s="38" t="n">
        <v>30.865</v>
      </c>
      <c r="L12" s="38" t="n">
        <v>52</v>
      </c>
      <c r="M12" s="38" t="n">
        <v>2.34</v>
      </c>
    </row>
    <row r="13" customFormat="false" ht="15" hidden="false" customHeight="false" outlineLevel="0" collapsed="false">
      <c r="A13" s="38" t="s">
        <v>60</v>
      </c>
      <c r="B13" s="44" t="s">
        <v>56</v>
      </c>
      <c r="C13" s="45" t="s">
        <v>27</v>
      </c>
      <c r="D13" s="46" t="n">
        <v>1</v>
      </c>
      <c r="E13" s="44" t="n">
        <v>1.331</v>
      </c>
      <c r="F13" s="47" t="s">
        <v>334</v>
      </c>
      <c r="G13" s="48" t="n">
        <v>45616</v>
      </c>
      <c r="H13" s="38" t="n">
        <v>63.9</v>
      </c>
      <c r="I13" s="38" t="n">
        <v>6.114</v>
      </c>
      <c r="J13" s="38" t="n">
        <v>556</v>
      </c>
      <c r="K13" s="38" t="n">
        <v>31.584</v>
      </c>
      <c r="L13" s="38" t="n">
        <v>62.5</v>
      </c>
      <c r="M13" s="38" t="n">
        <v>3.025</v>
      </c>
    </row>
    <row r="14" customFormat="false" ht="15" hidden="false" customHeight="false" outlineLevel="0" collapsed="false">
      <c r="A14" s="38" t="s">
        <v>62</v>
      </c>
      <c r="B14" s="44" t="s">
        <v>63</v>
      </c>
      <c r="C14" s="45" t="s">
        <v>23</v>
      </c>
      <c r="D14" s="46" t="n">
        <v>1</v>
      </c>
      <c r="E14" s="44" t="n">
        <v>1.318</v>
      </c>
      <c r="F14" s="47" t="s">
        <v>334</v>
      </c>
      <c r="G14" s="48" t="n">
        <v>45610</v>
      </c>
      <c r="H14" s="38" t="n">
        <v>37.9</v>
      </c>
      <c r="I14" s="38" t="n">
        <v>5.05</v>
      </c>
      <c r="J14" s="38" t="n">
        <v>634</v>
      </c>
      <c r="K14" s="38" t="n">
        <v>35.548</v>
      </c>
      <c r="L14" s="38" t="n">
        <v>48.4</v>
      </c>
      <c r="M14" s="38" t="n">
        <v>2.422</v>
      </c>
    </row>
    <row r="15" customFormat="false" ht="15" hidden="false" customHeight="false" outlineLevel="0" collapsed="false">
      <c r="A15" s="38" t="s">
        <v>66</v>
      </c>
      <c r="B15" s="44" t="s">
        <v>67</v>
      </c>
      <c r="C15" s="45" t="s">
        <v>19</v>
      </c>
      <c r="D15" s="46" t="n">
        <v>1</v>
      </c>
      <c r="E15" s="44" t="n">
        <v>1.27</v>
      </c>
      <c r="F15" s="47" t="s">
        <v>334</v>
      </c>
      <c r="G15" s="48" t="n">
        <v>45611</v>
      </c>
      <c r="H15" s="38" t="n">
        <v>39.7</v>
      </c>
      <c r="I15" s="38" t="n">
        <v>3.812</v>
      </c>
      <c r="J15" s="38" t="n">
        <v>651</v>
      </c>
      <c r="K15" s="38" t="n">
        <v>33.371</v>
      </c>
      <c r="L15" s="38" t="n">
        <v>42.7</v>
      </c>
      <c r="M15" s="38" t="n">
        <v>1.963</v>
      </c>
    </row>
    <row r="16" customFormat="false" ht="15" hidden="false" customHeight="false" outlineLevel="0" collapsed="false">
      <c r="A16" s="38" t="s">
        <v>73</v>
      </c>
      <c r="B16" s="44" t="s">
        <v>74</v>
      </c>
      <c r="C16" s="45" t="s">
        <v>75</v>
      </c>
      <c r="D16" s="46" t="n">
        <v>1</v>
      </c>
      <c r="E16" s="49" t="n">
        <v>1.76</v>
      </c>
      <c r="F16" s="47" t="s">
        <v>334</v>
      </c>
      <c r="G16" s="48" t="n">
        <v>45588</v>
      </c>
      <c r="H16" s="38" t="n">
        <v>15.4</v>
      </c>
      <c r="I16" s="38" t="n">
        <v>2.86</v>
      </c>
      <c r="J16" s="38" t="n">
        <v>529</v>
      </c>
      <c r="K16" s="38" t="n">
        <v>29.551</v>
      </c>
      <c r="L16" s="38" t="n">
        <v>18.7</v>
      </c>
      <c r="M16" s="38" t="n">
        <v>1.063</v>
      </c>
    </row>
    <row r="17" customFormat="false" ht="15" hidden="false" customHeight="false" outlineLevel="0" collapsed="false">
      <c r="A17" s="38" t="s">
        <v>77</v>
      </c>
      <c r="B17" s="44" t="s">
        <v>78</v>
      </c>
      <c r="C17" s="45" t="s">
        <v>79</v>
      </c>
      <c r="D17" s="46" t="n">
        <v>1</v>
      </c>
      <c r="E17" s="44" t="n">
        <v>1.682</v>
      </c>
      <c r="F17" s="47" t="s">
        <v>334</v>
      </c>
      <c r="G17" s="48" t="n">
        <v>45610</v>
      </c>
      <c r="H17" s="38" t="n">
        <v>25.5</v>
      </c>
      <c r="I17" s="38" t="n">
        <v>2.321</v>
      </c>
      <c r="J17" s="38" t="n">
        <v>268</v>
      </c>
      <c r="K17" s="38" t="n">
        <v>13.982</v>
      </c>
      <c r="L17" s="38" t="n">
        <v>15</v>
      </c>
      <c r="M17" s="38" t="n">
        <v>0.738</v>
      </c>
    </row>
    <row r="18" customFormat="false" ht="15" hidden="false" customHeight="false" outlineLevel="0" collapsed="false">
      <c r="A18" s="38" t="s">
        <v>84</v>
      </c>
      <c r="B18" s="44" t="s">
        <v>85</v>
      </c>
      <c r="C18" s="45" t="s">
        <v>86</v>
      </c>
      <c r="D18" s="46" t="n">
        <v>1</v>
      </c>
      <c r="E18" s="44" t="n">
        <v>1.849</v>
      </c>
      <c r="F18" s="47" t="s">
        <v>334</v>
      </c>
      <c r="G18" s="48" t="n">
        <v>45672</v>
      </c>
      <c r="H18" s="38" t="n">
        <v>26.9</v>
      </c>
      <c r="I18" s="38" t="n">
        <v>3.153</v>
      </c>
      <c r="J18" s="38" t="n">
        <v>832</v>
      </c>
      <c r="K18" s="38" t="n">
        <v>42.132</v>
      </c>
      <c r="L18" s="38" t="n">
        <v>126</v>
      </c>
      <c r="M18" s="38" t="n">
        <v>5.184</v>
      </c>
    </row>
    <row r="19" customFormat="false" ht="15" hidden="false" customHeight="false" outlineLevel="0" collapsed="false">
      <c r="A19" s="38" t="s">
        <v>87</v>
      </c>
      <c r="B19" s="44" t="s">
        <v>88</v>
      </c>
      <c r="C19" s="45" t="s">
        <v>89</v>
      </c>
      <c r="D19" s="46" t="n">
        <v>1</v>
      </c>
      <c r="E19" s="44" t="n">
        <v>0.857</v>
      </c>
      <c r="F19" s="47" t="s">
        <v>334</v>
      </c>
      <c r="G19" s="48" t="n">
        <v>45681</v>
      </c>
      <c r="H19" s="38" t="n">
        <v>53.2</v>
      </c>
      <c r="I19" s="38" t="n">
        <v>4.593</v>
      </c>
      <c r="J19" s="38" t="n">
        <v>284</v>
      </c>
      <c r="K19" s="38" t="n">
        <v>15.353</v>
      </c>
      <c r="L19" s="38" t="n">
        <v>55.6</v>
      </c>
      <c r="M19" s="38" t="n">
        <v>2.496</v>
      </c>
    </row>
    <row r="20" customFormat="false" ht="15" hidden="false" customHeight="false" outlineLevel="0" collapsed="false">
      <c r="A20" s="38" t="s">
        <v>90</v>
      </c>
      <c r="B20" s="44" t="s">
        <v>91</v>
      </c>
      <c r="C20" s="45" t="s">
        <v>92</v>
      </c>
      <c r="D20" s="46" t="n">
        <v>1</v>
      </c>
      <c r="E20" s="44" t="n">
        <v>0.987</v>
      </c>
      <c r="F20" s="47" t="s">
        <v>334</v>
      </c>
      <c r="G20" s="48" t="n">
        <v>45642</v>
      </c>
      <c r="H20" s="38" t="n">
        <v>86.8</v>
      </c>
      <c r="I20" s="38" t="n">
        <v>5.969</v>
      </c>
      <c r="J20" s="38" t="n">
        <v>261</v>
      </c>
      <c r="K20" s="38" t="n">
        <v>14.113</v>
      </c>
      <c r="L20" s="38" t="n">
        <v>78.2</v>
      </c>
      <c r="M20" s="38" t="n">
        <v>3.406</v>
      </c>
    </row>
    <row r="21" customFormat="false" ht="15" hidden="false" customHeight="false" outlineLevel="0" collapsed="false">
      <c r="A21" s="38" t="s">
        <v>98</v>
      </c>
      <c r="B21" s="44" t="s">
        <v>99</v>
      </c>
      <c r="C21" s="45" t="s">
        <v>100</v>
      </c>
      <c r="D21" s="46" t="n">
        <v>1</v>
      </c>
      <c r="E21" s="44" t="n">
        <v>1.295</v>
      </c>
      <c r="F21" s="47" t="s">
        <v>334</v>
      </c>
      <c r="G21" s="48" t="n">
        <v>45716</v>
      </c>
      <c r="H21" s="38" t="n">
        <v>28.8</v>
      </c>
      <c r="I21" s="38" t="n">
        <v>2.26</v>
      </c>
      <c r="J21" s="38" t="n">
        <v>367</v>
      </c>
      <c r="K21" s="38" t="n">
        <v>22</v>
      </c>
      <c r="L21" s="38" t="n">
        <v>21.2</v>
      </c>
      <c r="M21" s="38" t="n">
        <v>1.27</v>
      </c>
    </row>
    <row r="22" customFormat="false" ht="15" hidden="false" customHeight="false" outlineLevel="0" collapsed="false">
      <c r="A22" s="38" t="s">
        <v>102</v>
      </c>
      <c r="B22" s="44" t="s">
        <v>63</v>
      </c>
      <c r="C22" s="45" t="s">
        <v>103</v>
      </c>
      <c r="D22" s="46" t="n">
        <v>1</v>
      </c>
      <c r="E22" s="44" t="n">
        <v>1.342</v>
      </c>
      <c r="F22" s="47" t="s">
        <v>334</v>
      </c>
      <c r="G22" s="48" t="n">
        <v>45687</v>
      </c>
      <c r="H22" s="38" t="n">
        <v>29.9</v>
      </c>
      <c r="I22" s="38" t="n">
        <v>2.925</v>
      </c>
      <c r="J22" s="38" t="n">
        <v>489</v>
      </c>
      <c r="K22" s="38" t="n">
        <v>25.082</v>
      </c>
      <c r="L22" s="38" t="n">
        <v>32.1</v>
      </c>
      <c r="M22" s="38" t="n">
        <v>1.444</v>
      </c>
    </row>
    <row r="23" customFormat="false" ht="15" hidden="false" customHeight="false" outlineLevel="0" collapsed="false">
      <c r="A23" s="38" t="s">
        <v>105</v>
      </c>
      <c r="B23" s="44" t="s">
        <v>106</v>
      </c>
      <c r="C23" s="45" t="s">
        <v>107</v>
      </c>
      <c r="D23" s="46" t="n">
        <v>1</v>
      </c>
      <c r="E23" s="44" t="n">
        <v>1.454</v>
      </c>
      <c r="F23" s="47" t="s">
        <v>334</v>
      </c>
      <c r="G23" s="48" t="n">
        <v>45687</v>
      </c>
      <c r="H23" s="38" t="n">
        <v>52.3</v>
      </c>
      <c r="I23" s="38" t="n">
        <v>5.568</v>
      </c>
      <c r="J23" s="38" t="n">
        <v>588</v>
      </c>
      <c r="K23" s="38" t="n">
        <v>33.102</v>
      </c>
      <c r="L23" s="38" t="n">
        <v>48</v>
      </c>
      <c r="M23" s="38" t="n">
        <v>2.363</v>
      </c>
    </row>
    <row r="24" customFormat="false" ht="15" hidden="false" customHeight="false" outlineLevel="0" collapsed="false">
      <c r="A24" s="38" t="s">
        <v>109</v>
      </c>
      <c r="B24" s="44" t="s">
        <v>106</v>
      </c>
      <c r="C24" s="45" t="s">
        <v>110</v>
      </c>
      <c r="D24" s="46" t="n">
        <v>1</v>
      </c>
      <c r="E24" s="44" t="n">
        <v>1.307</v>
      </c>
      <c r="F24" s="47" t="s">
        <v>334</v>
      </c>
      <c r="G24" s="48" t="n">
        <v>45687</v>
      </c>
      <c r="H24" s="38" t="n">
        <v>39.2</v>
      </c>
      <c r="I24" s="38" t="n">
        <v>2.79</v>
      </c>
      <c r="J24" s="38" t="n">
        <v>542</v>
      </c>
      <c r="K24" s="38" t="n">
        <v>27.616</v>
      </c>
      <c r="L24" s="38" t="n">
        <v>41.8</v>
      </c>
      <c r="M24" s="38" t="n">
        <v>1.882</v>
      </c>
    </row>
    <row r="25" customFormat="false" ht="15" hidden="false" customHeight="false" outlineLevel="0" collapsed="false">
      <c r="A25" s="38" t="s">
        <v>112</v>
      </c>
      <c r="B25" s="44" t="s">
        <v>106</v>
      </c>
      <c r="C25" s="45" t="s">
        <v>113</v>
      </c>
      <c r="D25" s="46" t="n">
        <v>1</v>
      </c>
      <c r="E25" s="44" t="n">
        <v>1.507</v>
      </c>
      <c r="F25" s="47" t="s">
        <v>334</v>
      </c>
      <c r="G25" s="48" t="n">
        <v>45687</v>
      </c>
      <c r="H25" s="38" t="n">
        <v>44.8</v>
      </c>
      <c r="I25" s="38" t="n">
        <v>4.089</v>
      </c>
      <c r="J25" s="38" t="n">
        <v>661</v>
      </c>
      <c r="K25" s="38" t="n">
        <v>33.779</v>
      </c>
      <c r="L25" s="38" t="n">
        <v>60.9</v>
      </c>
      <c r="M25" s="38" t="n">
        <v>2.704</v>
      </c>
    </row>
    <row r="26" customFormat="false" ht="15" hidden="false" customHeight="false" outlineLevel="0" collapsed="false">
      <c r="A26" s="38" t="s">
        <v>115</v>
      </c>
      <c r="B26" s="44" t="s">
        <v>63</v>
      </c>
      <c r="C26" s="45" t="s">
        <v>116</v>
      </c>
      <c r="D26" s="46" t="n">
        <v>1</v>
      </c>
      <c r="E26" s="44" t="n">
        <v>1.239</v>
      </c>
      <c r="F26" s="47" t="s">
        <v>334</v>
      </c>
      <c r="G26" s="48" t="n">
        <v>45687</v>
      </c>
      <c r="H26" s="38" t="n">
        <v>36.5</v>
      </c>
      <c r="I26" s="38" t="n">
        <v>3.558</v>
      </c>
      <c r="J26" s="38" t="n">
        <v>556</v>
      </c>
      <c r="K26" s="38" t="n">
        <v>28.33</v>
      </c>
      <c r="L26" s="38" t="n">
        <v>38.1</v>
      </c>
      <c r="M26" s="38" t="n">
        <v>1.571</v>
      </c>
    </row>
    <row r="27" customFormat="false" ht="15" hidden="false" customHeight="false" outlineLevel="0" collapsed="false">
      <c r="A27" s="38" t="s">
        <v>118</v>
      </c>
      <c r="B27" s="44" t="s">
        <v>63</v>
      </c>
      <c r="C27" s="45" t="s">
        <v>119</v>
      </c>
      <c r="D27" s="46" t="n">
        <v>1</v>
      </c>
      <c r="E27" s="44" t="n">
        <v>1.298</v>
      </c>
      <c r="F27" s="47" t="s">
        <v>334</v>
      </c>
      <c r="G27" s="48" t="n">
        <v>45687</v>
      </c>
      <c r="H27" s="38" t="n">
        <v>39.3</v>
      </c>
      <c r="I27" s="38" t="n">
        <v>3.903</v>
      </c>
      <c r="J27" s="38" t="n">
        <v>329</v>
      </c>
      <c r="K27" s="38" t="n">
        <v>17.615</v>
      </c>
      <c r="L27" s="38" t="n">
        <v>38.2</v>
      </c>
      <c r="M27" s="38" t="n">
        <v>1.777</v>
      </c>
    </row>
    <row r="28" customFormat="false" ht="15" hidden="false" customHeight="false" outlineLevel="0" collapsed="false">
      <c r="A28" s="38" t="s">
        <v>121</v>
      </c>
      <c r="B28" s="44" t="s">
        <v>63</v>
      </c>
      <c r="C28" s="45" t="s">
        <v>122</v>
      </c>
      <c r="D28" s="46" t="n">
        <v>1</v>
      </c>
      <c r="E28" s="49" t="n">
        <v>1.23</v>
      </c>
      <c r="F28" s="47" t="s">
        <v>334</v>
      </c>
      <c r="G28" s="48" t="n">
        <v>45687</v>
      </c>
      <c r="H28" s="38" t="n">
        <v>30.5</v>
      </c>
      <c r="I28" s="38" t="n">
        <v>4.255</v>
      </c>
      <c r="J28" s="38" t="n">
        <v>297</v>
      </c>
      <c r="K28" s="38" t="n">
        <v>19.207</v>
      </c>
      <c r="L28" s="38" t="n">
        <v>29.8</v>
      </c>
      <c r="M28" s="38" t="n">
        <v>1.599</v>
      </c>
    </row>
    <row r="29" customFormat="false" ht="15" hidden="false" customHeight="false" outlineLevel="0" collapsed="false">
      <c r="A29" s="38" t="s">
        <v>124</v>
      </c>
      <c r="B29" s="44" t="s">
        <v>63</v>
      </c>
      <c r="C29" s="45" t="s">
        <v>125</v>
      </c>
      <c r="D29" s="46" t="n">
        <v>1</v>
      </c>
      <c r="E29" s="44" t="n">
        <v>1.304</v>
      </c>
      <c r="F29" s="47" t="s">
        <v>334</v>
      </c>
      <c r="G29" s="48" t="n">
        <v>45687</v>
      </c>
      <c r="H29" s="38" t="n">
        <v>29.8</v>
      </c>
      <c r="I29" s="38" t="n">
        <v>2.877</v>
      </c>
      <c r="J29" s="38" t="n">
        <v>566</v>
      </c>
      <c r="K29" s="38" t="n">
        <v>28.813</v>
      </c>
      <c r="L29" s="38" t="n">
        <v>37.3</v>
      </c>
      <c r="M29" s="38" t="n">
        <v>1.667</v>
      </c>
    </row>
    <row r="30" customFormat="false" ht="15" hidden="false" customHeight="false" outlineLevel="0" collapsed="false">
      <c r="A30" s="38" t="s">
        <v>127</v>
      </c>
      <c r="B30" s="44" t="s">
        <v>63</v>
      </c>
      <c r="C30" s="45" t="s">
        <v>128</v>
      </c>
      <c r="D30" s="46" t="n">
        <v>1</v>
      </c>
      <c r="E30" s="44" t="n">
        <v>1.313</v>
      </c>
      <c r="F30" s="47" t="s">
        <v>334</v>
      </c>
      <c r="G30" s="48" t="n">
        <v>45687</v>
      </c>
      <c r="H30" s="38" t="n">
        <v>31.5</v>
      </c>
      <c r="I30" s="38" t="n">
        <v>3.915</v>
      </c>
      <c r="J30" s="38" t="n">
        <v>482</v>
      </c>
      <c r="K30" s="38" t="n">
        <v>25.292</v>
      </c>
      <c r="L30" s="38" t="n">
        <v>35.3</v>
      </c>
      <c r="M30" s="38" t="n">
        <v>1.688</v>
      </c>
    </row>
    <row r="31" customFormat="false" ht="15" hidden="false" customHeight="false" outlineLevel="0" collapsed="false">
      <c r="A31" s="38" t="s">
        <v>130</v>
      </c>
      <c r="B31" s="44" t="s">
        <v>131</v>
      </c>
      <c r="C31" s="45" t="s">
        <v>132</v>
      </c>
      <c r="D31" s="46" t="n">
        <v>1</v>
      </c>
      <c r="E31" s="44" t="n">
        <v>1.719</v>
      </c>
      <c r="F31" s="47" t="s">
        <v>334</v>
      </c>
      <c r="G31" s="48" t="n">
        <v>45636</v>
      </c>
      <c r="H31" s="38" t="n">
        <v>14.8</v>
      </c>
      <c r="I31" s="38" t="n">
        <v>1.226</v>
      </c>
      <c r="J31" s="38" t="n">
        <v>307</v>
      </c>
      <c r="K31" s="38" t="n">
        <v>15.69</v>
      </c>
      <c r="L31" s="38" t="n">
        <v>14.8</v>
      </c>
      <c r="M31" s="38" t="n">
        <v>0.69</v>
      </c>
    </row>
    <row r="32" customFormat="false" ht="15" hidden="false" customHeight="false" outlineLevel="0" collapsed="false">
      <c r="A32" s="38" t="s">
        <v>134</v>
      </c>
      <c r="B32" s="44" t="s">
        <v>135</v>
      </c>
      <c r="C32" s="45" t="s">
        <v>136</v>
      </c>
      <c r="D32" s="46" t="n">
        <v>1</v>
      </c>
      <c r="E32" s="44" t="n">
        <v>1.662</v>
      </c>
      <c r="F32" s="47" t="s">
        <v>334</v>
      </c>
      <c r="G32" s="48" t="n">
        <v>45642</v>
      </c>
      <c r="H32" s="38" t="n">
        <v>40.3</v>
      </c>
      <c r="I32" s="38" t="n">
        <v>3.427</v>
      </c>
      <c r="J32" s="38" t="n">
        <v>903</v>
      </c>
      <c r="K32" s="38" t="n">
        <v>45.554</v>
      </c>
      <c r="L32" s="38" t="n">
        <v>48.7</v>
      </c>
      <c r="M32" s="38" t="n">
        <v>2.157</v>
      </c>
      <c r="O32" s="33"/>
      <c r="P32" s="33"/>
      <c r="Q32" s="33"/>
      <c r="R32" s="33"/>
      <c r="S32" s="33"/>
      <c r="T32" s="33"/>
    </row>
    <row r="33" customFormat="false" ht="15" hidden="false" customHeight="false" outlineLevel="0" collapsed="false">
      <c r="A33" s="38" t="s">
        <v>138</v>
      </c>
      <c r="B33" s="44" t="s">
        <v>139</v>
      </c>
      <c r="C33" s="45" t="s">
        <v>140</v>
      </c>
      <c r="D33" s="46" t="n">
        <v>1</v>
      </c>
      <c r="E33" s="49" t="n">
        <v>1.47</v>
      </c>
      <c r="F33" s="47" t="s">
        <v>334</v>
      </c>
      <c r="G33" s="48" t="n">
        <v>45692</v>
      </c>
      <c r="H33" s="38" t="n">
        <v>24.9</v>
      </c>
      <c r="I33" s="38" t="n">
        <v>2.882</v>
      </c>
      <c r="J33" s="38" t="n">
        <v>582</v>
      </c>
      <c r="K33" s="38" t="n">
        <v>30.373</v>
      </c>
      <c r="L33" s="38" t="n">
        <v>29.6</v>
      </c>
      <c r="M33" s="38" t="n">
        <v>1.355</v>
      </c>
    </row>
    <row r="34" customFormat="false" ht="15" hidden="false" customHeight="false" outlineLevel="0" collapsed="false">
      <c r="A34" s="38" t="s">
        <v>142</v>
      </c>
      <c r="B34" s="44" t="s">
        <v>88</v>
      </c>
      <c r="C34" s="45" t="s">
        <v>143</v>
      </c>
      <c r="D34" s="46" t="n">
        <v>1</v>
      </c>
      <c r="E34" s="49" t="n">
        <v>0.81</v>
      </c>
      <c r="F34" s="47" t="s">
        <v>334</v>
      </c>
      <c r="G34" s="48" t="n">
        <v>45709</v>
      </c>
      <c r="H34" s="38" t="n">
        <v>66.7</v>
      </c>
      <c r="I34" s="38" t="n">
        <v>5.174</v>
      </c>
      <c r="J34" s="38" t="n">
        <v>317</v>
      </c>
      <c r="K34" s="38" t="n">
        <v>17.082</v>
      </c>
      <c r="L34" s="38" t="n">
        <v>62.1</v>
      </c>
      <c r="M34" s="38" t="n">
        <v>2.727</v>
      </c>
    </row>
    <row r="35" customFormat="false" ht="15" hidden="false" customHeight="false" outlineLevel="0" collapsed="false">
      <c r="A35" s="38" t="s">
        <v>145</v>
      </c>
      <c r="B35" s="44" t="s">
        <v>146</v>
      </c>
      <c r="C35" s="45" t="s">
        <v>147</v>
      </c>
      <c r="D35" s="46" t="n">
        <v>1</v>
      </c>
      <c r="E35" s="44" t="n">
        <v>1.832</v>
      </c>
      <c r="F35" s="47" t="s">
        <v>334</v>
      </c>
      <c r="G35" s="48" t="n">
        <v>45539</v>
      </c>
      <c r="H35" s="38" t="n">
        <v>85.9</v>
      </c>
      <c r="I35" s="38" t="n">
        <v>7.549</v>
      </c>
      <c r="J35" s="38" t="n">
        <v>133</v>
      </c>
      <c r="K35" s="38" t="n">
        <v>10.052</v>
      </c>
      <c r="L35" s="38" t="n">
        <v>107</v>
      </c>
      <c r="M35" s="38" t="n">
        <v>4.809</v>
      </c>
    </row>
    <row r="36" customFormat="false" ht="15" hidden="false" customHeight="false" outlineLevel="0" collapsed="false">
      <c r="A36" s="38" t="s">
        <v>149</v>
      </c>
      <c r="B36" s="44" t="s">
        <v>99</v>
      </c>
      <c r="C36" s="45" t="s">
        <v>150</v>
      </c>
      <c r="D36" s="46" t="n">
        <v>1</v>
      </c>
      <c r="E36" s="44" t="n">
        <v>1.501</v>
      </c>
      <c r="F36" s="47" t="s">
        <v>334</v>
      </c>
      <c r="G36" s="48" t="n">
        <v>45729</v>
      </c>
      <c r="H36" s="38" t="n">
        <v>39.2</v>
      </c>
      <c r="I36" s="38" t="n">
        <v>3.571</v>
      </c>
      <c r="J36" s="38" t="n">
        <v>242</v>
      </c>
      <c r="K36" s="38" t="n">
        <v>13.258</v>
      </c>
      <c r="L36" s="38" t="n">
        <v>64.2</v>
      </c>
      <c r="M36" s="38" t="n">
        <v>2.82</v>
      </c>
    </row>
    <row r="37" customFormat="false" ht="15" hidden="false" customHeight="false" outlineLevel="0" collapsed="false">
      <c r="A37" s="38" t="s">
        <v>152</v>
      </c>
      <c r="B37" s="44" t="s">
        <v>88</v>
      </c>
      <c r="C37" s="45" t="s">
        <v>153</v>
      </c>
      <c r="D37" s="46" t="n">
        <v>1</v>
      </c>
      <c r="E37" s="44" t="n">
        <v>0.996</v>
      </c>
      <c r="F37" s="47" t="s">
        <v>334</v>
      </c>
      <c r="G37" s="48" t="n">
        <v>45740</v>
      </c>
      <c r="H37" s="38" t="n">
        <v>48.8</v>
      </c>
      <c r="I37" s="38" t="n">
        <v>3.851</v>
      </c>
      <c r="J37" s="38" t="n">
        <v>245</v>
      </c>
      <c r="K37" s="38" t="n">
        <v>13.165</v>
      </c>
      <c r="L37" s="38" t="n">
        <v>43.5</v>
      </c>
      <c r="M37" s="38" t="n">
        <v>1.973</v>
      </c>
    </row>
    <row r="38" customFormat="false" ht="15" hidden="false" customHeight="false" outlineLevel="0" collapsed="false">
      <c r="A38" s="38" t="s">
        <v>155</v>
      </c>
      <c r="B38" s="44" t="s">
        <v>156</v>
      </c>
      <c r="C38" s="45" t="s">
        <v>157</v>
      </c>
      <c r="D38" s="46" t="n">
        <v>1</v>
      </c>
      <c r="E38" s="44" t="n">
        <v>1.496</v>
      </c>
      <c r="F38" s="47" t="s">
        <v>334</v>
      </c>
      <c r="G38" s="48" t="n">
        <v>45797</v>
      </c>
      <c r="H38" s="38" t="n">
        <v>28.3</v>
      </c>
      <c r="I38" s="38" t="n">
        <v>4.048</v>
      </c>
      <c r="J38" s="38" t="n">
        <v>496</v>
      </c>
      <c r="K38" s="38" t="n">
        <v>28.267</v>
      </c>
      <c r="L38" s="38" t="n">
        <v>26</v>
      </c>
      <c r="M38" s="38" t="n">
        <v>1.413</v>
      </c>
    </row>
    <row r="39" customFormat="false" ht="15" hidden="false" customHeight="false" outlineLevel="0" collapsed="false">
      <c r="A39" s="38" t="s">
        <v>159</v>
      </c>
      <c r="B39" s="44" t="s">
        <v>160</v>
      </c>
      <c r="C39" s="45" t="s">
        <v>161</v>
      </c>
      <c r="D39" s="46" t="n">
        <v>1</v>
      </c>
      <c r="E39" s="44" t="n">
        <v>1.694</v>
      </c>
      <c r="F39" s="47" t="s">
        <v>334</v>
      </c>
      <c r="G39" s="48" t="n">
        <v>45808</v>
      </c>
      <c r="H39" s="38" t="n">
        <v>11.4</v>
      </c>
      <c r="I39" s="38" t="n">
        <v>2.463</v>
      </c>
      <c r="J39" s="38" t="n">
        <v>216</v>
      </c>
      <c r="K39" s="38" t="n">
        <v>14.312</v>
      </c>
      <c r="L39" s="38" t="n">
        <v>11.3</v>
      </c>
      <c r="M39" s="38" t="n">
        <v>0.714</v>
      </c>
    </row>
    <row r="40" customFormat="false" ht="15" hidden="false" customHeight="false" outlineLevel="0" collapsed="false">
      <c r="A40" s="38" t="s">
        <v>163</v>
      </c>
      <c r="B40" s="44" t="s">
        <v>164</v>
      </c>
      <c r="C40" s="45" t="s">
        <v>165</v>
      </c>
      <c r="D40" s="46" t="n">
        <v>1</v>
      </c>
      <c r="E40" s="44" t="n">
        <v>1.652</v>
      </c>
      <c r="F40" s="47" t="s">
        <v>334</v>
      </c>
      <c r="G40" s="48" t="n">
        <v>45793</v>
      </c>
      <c r="H40" s="38" t="n">
        <v>34</v>
      </c>
      <c r="I40" s="38" t="n">
        <v>2.28</v>
      </c>
      <c r="J40" s="38" t="n">
        <v>465</v>
      </c>
      <c r="K40" s="38" t="n">
        <v>23.578</v>
      </c>
      <c r="L40" s="38" t="n">
        <v>24.7</v>
      </c>
      <c r="M40" s="38" t="n">
        <v>1.107</v>
      </c>
    </row>
    <row r="41" customFormat="false" ht="15" hidden="false" customHeight="false" outlineLevel="0" collapsed="false">
      <c r="A41" s="38" t="s">
        <v>171</v>
      </c>
      <c r="B41" s="44" t="s">
        <v>172</v>
      </c>
      <c r="C41" s="45" t="s">
        <v>173</v>
      </c>
      <c r="D41" s="46" t="n">
        <v>1</v>
      </c>
      <c r="E41" s="44" t="n">
        <v>1.696</v>
      </c>
      <c r="F41" s="47" t="s">
        <v>334</v>
      </c>
      <c r="G41" s="48" t="n">
        <v>45793</v>
      </c>
      <c r="H41" s="38" t="n">
        <v>36.9</v>
      </c>
      <c r="I41" s="38" t="n">
        <v>3.648</v>
      </c>
      <c r="J41" s="38" t="n">
        <v>514</v>
      </c>
      <c r="K41" s="38" t="n">
        <v>27.975</v>
      </c>
      <c r="L41" s="38" t="n">
        <v>24.6</v>
      </c>
      <c r="M41" s="38" t="n">
        <v>1.253</v>
      </c>
    </row>
    <row r="42" customFormat="false" ht="15" hidden="false" customHeight="false" outlineLevel="0" collapsed="false">
      <c r="A42" s="38" t="s">
        <v>175</v>
      </c>
      <c r="B42" s="44" t="s">
        <v>176</v>
      </c>
      <c r="C42" s="45" t="s">
        <v>177</v>
      </c>
      <c r="D42" s="46" t="n">
        <v>1</v>
      </c>
      <c r="E42" s="44" t="n">
        <v>1.669</v>
      </c>
      <c r="F42" s="47" t="s">
        <v>334</v>
      </c>
      <c r="G42" s="48" t="n">
        <v>45793</v>
      </c>
      <c r="H42" s="38" t="n">
        <v>37.2</v>
      </c>
      <c r="I42" s="38" t="n">
        <v>2.855</v>
      </c>
      <c r="J42" s="38" t="n">
        <v>411</v>
      </c>
      <c r="K42" s="38" t="n">
        <v>20.953</v>
      </c>
      <c r="L42" s="38" t="n">
        <v>23.2</v>
      </c>
      <c r="M42" s="38" t="n">
        <v>1.023</v>
      </c>
    </row>
    <row r="43" customFormat="false" ht="15" hidden="false" customHeight="false" outlineLevel="0" collapsed="false">
      <c r="A43" s="38" t="s">
        <v>179</v>
      </c>
      <c r="B43" s="44" t="s">
        <v>180</v>
      </c>
      <c r="C43" s="45" t="s">
        <v>181</v>
      </c>
      <c r="D43" s="46" t="n">
        <v>1</v>
      </c>
      <c r="E43" s="44" t="n">
        <v>1.541</v>
      </c>
      <c r="F43" s="47" t="s">
        <v>334</v>
      </c>
      <c r="G43" s="48" t="n">
        <v>45826</v>
      </c>
      <c r="H43" s="38" t="n">
        <v>19.2</v>
      </c>
      <c r="I43" s="38" t="n">
        <v>2.511</v>
      </c>
      <c r="J43" s="38" t="n">
        <v>401</v>
      </c>
      <c r="K43" s="38" t="n">
        <v>20.98</v>
      </c>
      <c r="L43" s="38" t="n">
        <v>15.9</v>
      </c>
      <c r="M43" s="38" t="n">
        <v>0.826</v>
      </c>
    </row>
    <row r="44" customFormat="false" ht="15" hidden="false" customHeight="false" outlineLevel="0" collapsed="false">
      <c r="A44" s="38" t="s">
        <v>183</v>
      </c>
      <c r="B44" s="44" t="s">
        <v>99</v>
      </c>
      <c r="C44" s="45" t="s">
        <v>184</v>
      </c>
      <c r="D44" s="46" t="n">
        <v>1</v>
      </c>
      <c r="E44" s="49" t="n">
        <v>1.43</v>
      </c>
      <c r="F44" s="47" t="s">
        <v>334</v>
      </c>
      <c r="G44" s="48" t="n">
        <v>45826</v>
      </c>
      <c r="H44" s="38" t="n">
        <v>19.7</v>
      </c>
      <c r="I44" s="38" t="n">
        <v>2.326</v>
      </c>
      <c r="J44" s="38" t="n">
        <v>399</v>
      </c>
      <c r="K44" s="38" t="n">
        <v>20.633</v>
      </c>
      <c r="L44" s="38" t="n">
        <v>19.3</v>
      </c>
      <c r="M44" s="38" t="n">
        <v>0.89</v>
      </c>
    </row>
    <row r="45" customFormat="false" ht="15" hidden="false" customHeight="false" outlineLevel="0" collapsed="false">
      <c r="A45" s="38" t="s">
        <v>186</v>
      </c>
      <c r="B45" s="44" t="s">
        <v>99</v>
      </c>
      <c r="C45" s="45" t="s">
        <v>185</v>
      </c>
      <c r="D45" s="46" t="n">
        <v>1</v>
      </c>
      <c r="E45" s="44" t="n">
        <v>1.555</v>
      </c>
      <c r="F45" s="47" t="s">
        <v>334</v>
      </c>
      <c r="G45" s="48" t="n">
        <v>45825</v>
      </c>
      <c r="H45" s="38" t="n">
        <v>26</v>
      </c>
      <c r="I45" s="38" t="n">
        <v>2.616</v>
      </c>
      <c r="J45" s="38" t="n">
        <v>409</v>
      </c>
      <c r="K45" s="38" t="n">
        <v>21.103</v>
      </c>
      <c r="L45" s="38" t="n">
        <v>24.1</v>
      </c>
      <c r="M45" s="38" t="n">
        <v>1.094</v>
      </c>
    </row>
    <row r="46" customFormat="false" ht="15" hidden="false" customHeight="false" outlineLevel="0" collapsed="false">
      <c r="A46" s="38" t="s">
        <v>188</v>
      </c>
      <c r="B46" s="44" t="s">
        <v>99</v>
      </c>
      <c r="C46" s="45" t="s">
        <v>178</v>
      </c>
      <c r="D46" s="46" t="n">
        <v>1</v>
      </c>
      <c r="E46" s="44" t="n">
        <v>1.545</v>
      </c>
      <c r="F46" s="47" t="s">
        <v>334</v>
      </c>
      <c r="G46" s="48" t="n">
        <v>45825</v>
      </c>
      <c r="H46" s="38" t="n">
        <v>10.4</v>
      </c>
      <c r="I46" s="38" t="n">
        <v>1.547</v>
      </c>
      <c r="J46" s="38" t="n">
        <v>464</v>
      </c>
      <c r="K46" s="38" t="n">
        <v>23.876</v>
      </c>
      <c r="L46" s="38" t="n">
        <v>13</v>
      </c>
      <c r="M46" s="38" t="n">
        <v>0.669</v>
      </c>
    </row>
    <row r="47" customFormat="false" ht="15" hidden="false" customHeight="false" outlineLevel="0" collapsed="false">
      <c r="A47" s="38" t="s">
        <v>189</v>
      </c>
      <c r="B47" s="44" t="s">
        <v>190</v>
      </c>
      <c r="C47" s="45" t="s">
        <v>174</v>
      </c>
      <c r="D47" s="46" t="n">
        <v>1</v>
      </c>
      <c r="E47" s="44" t="n">
        <v>1.445</v>
      </c>
      <c r="F47" s="47" t="s">
        <v>334</v>
      </c>
      <c r="G47" s="48" t="n">
        <v>45826</v>
      </c>
      <c r="H47" s="38" t="n">
        <v>26</v>
      </c>
      <c r="I47" s="38" t="n">
        <v>3.806</v>
      </c>
      <c r="J47" s="38" t="n">
        <v>423</v>
      </c>
      <c r="K47" s="38" t="n">
        <v>24.775</v>
      </c>
      <c r="L47" s="38" t="n">
        <v>26.9</v>
      </c>
      <c r="M47" s="38" t="n">
        <v>1.452</v>
      </c>
    </row>
    <row r="48" customFormat="false" ht="15" hidden="false" customHeight="false" outlineLevel="0" collapsed="false">
      <c r="A48" s="38" t="s">
        <v>195</v>
      </c>
      <c r="B48" s="44" t="s">
        <v>196</v>
      </c>
      <c r="C48" s="45" t="s">
        <v>170</v>
      </c>
      <c r="D48" s="46" t="n">
        <v>1</v>
      </c>
      <c r="E48" s="44" t="n">
        <v>1.899</v>
      </c>
      <c r="F48" s="47" t="s">
        <v>334</v>
      </c>
      <c r="G48" s="48" t="n">
        <v>45826</v>
      </c>
      <c r="H48" s="38" t="n">
        <v>47.9</v>
      </c>
      <c r="I48" s="38" t="n">
        <v>4.301</v>
      </c>
      <c r="J48" s="38" t="n">
        <v>1010</v>
      </c>
      <c r="K48" s="38" t="n">
        <v>48.4</v>
      </c>
      <c r="L48" s="38" t="n">
        <v>55</v>
      </c>
      <c r="M48" s="38" t="n">
        <v>2.376</v>
      </c>
    </row>
    <row r="49" customFormat="false" ht="15" hidden="false" customHeight="false" outlineLevel="0" collapsed="false">
      <c r="A49" s="38" t="s">
        <v>197</v>
      </c>
      <c r="B49" s="44" t="s">
        <v>198</v>
      </c>
      <c r="C49" s="45" t="s">
        <v>166</v>
      </c>
      <c r="D49" s="46" t="n">
        <v>1</v>
      </c>
      <c r="E49" s="44" t="n">
        <v>1.777</v>
      </c>
      <c r="F49" s="47" t="s">
        <v>334</v>
      </c>
      <c r="G49" s="48" t="n">
        <v>45826</v>
      </c>
      <c r="H49" s="38" t="n">
        <v>46.1</v>
      </c>
      <c r="I49" s="38" t="n">
        <v>4.683</v>
      </c>
      <c r="J49" s="38" t="n">
        <v>1060</v>
      </c>
      <c r="K49" s="38" t="n">
        <v>50.556</v>
      </c>
      <c r="L49" s="38" t="n">
        <v>59.3</v>
      </c>
      <c r="M49" s="38" t="n">
        <v>2.598</v>
      </c>
    </row>
    <row r="50" customFormat="false" ht="15" hidden="false" customHeight="false" outlineLevel="0" collapsed="false">
      <c r="A50" s="38" t="s">
        <v>199</v>
      </c>
      <c r="B50" s="44" t="s">
        <v>200</v>
      </c>
      <c r="C50" s="45" t="s">
        <v>162</v>
      </c>
      <c r="D50" s="46" t="n">
        <v>1</v>
      </c>
      <c r="E50" s="44" t="n">
        <v>1.748</v>
      </c>
      <c r="F50" s="47" t="s">
        <v>334</v>
      </c>
      <c r="G50" s="48" t="n">
        <v>45826</v>
      </c>
      <c r="H50" s="38" t="n">
        <v>12.2</v>
      </c>
      <c r="I50" s="38" t="n">
        <v>2.272</v>
      </c>
      <c r="J50" s="38" t="n">
        <v>527</v>
      </c>
      <c r="K50" s="38" t="n">
        <v>26.388</v>
      </c>
      <c r="L50" s="38" t="n">
        <v>11.2</v>
      </c>
      <c r="M50" s="38" t="n">
        <v>0.631</v>
      </c>
    </row>
    <row r="51" customFormat="false" ht="15" hidden="false" customHeight="false" outlineLevel="0" collapsed="false">
      <c r="A51" s="38" t="s">
        <v>201</v>
      </c>
      <c r="B51" s="44" t="s">
        <v>202</v>
      </c>
      <c r="C51" s="45" t="s">
        <v>158</v>
      </c>
      <c r="D51" s="46" t="n">
        <v>1</v>
      </c>
      <c r="E51" s="44" t="n">
        <v>1.719</v>
      </c>
      <c r="F51" s="47" t="s">
        <v>334</v>
      </c>
      <c r="G51" s="48" t="n">
        <v>45831</v>
      </c>
      <c r="H51" s="38" t="n">
        <v>10.5</v>
      </c>
      <c r="I51" s="38" t="n">
        <v>2.183</v>
      </c>
      <c r="J51" s="38" t="n">
        <v>668</v>
      </c>
      <c r="K51" s="38" t="n">
        <v>32.946</v>
      </c>
      <c r="L51" s="38" t="n">
        <v>17.7</v>
      </c>
      <c r="M51" s="38" t="n">
        <v>0.911</v>
      </c>
    </row>
    <row r="52" customFormat="false" ht="15" hidden="false" customHeight="false" outlineLevel="0" collapsed="false">
      <c r="A52" s="38" t="s">
        <v>203</v>
      </c>
      <c r="B52" s="44" t="s">
        <v>204</v>
      </c>
      <c r="C52" s="45" t="s">
        <v>154</v>
      </c>
      <c r="D52" s="46" t="n">
        <v>1</v>
      </c>
      <c r="E52" s="44" t="n">
        <v>1.866</v>
      </c>
      <c r="F52" s="47" t="s">
        <v>334</v>
      </c>
      <c r="G52" s="48" t="n">
        <v>45831</v>
      </c>
      <c r="H52" s="38" t="n">
        <v>48.7</v>
      </c>
      <c r="I52" s="38" t="n">
        <v>3.947</v>
      </c>
      <c r="J52" s="38" t="n">
        <v>706</v>
      </c>
      <c r="K52" s="38" t="n">
        <v>33.65</v>
      </c>
      <c r="L52" s="38" t="n">
        <v>46.7</v>
      </c>
      <c r="M52" s="38" t="n">
        <v>1.916</v>
      </c>
    </row>
    <row r="53" customFormat="false" ht="15" hidden="false" customHeight="false" outlineLevel="0" collapsed="false">
      <c r="A53" s="38" t="s">
        <v>208</v>
      </c>
      <c r="B53" s="44" t="s">
        <v>200</v>
      </c>
      <c r="C53" s="45" t="s">
        <v>148</v>
      </c>
      <c r="D53" s="46" t="n">
        <v>1</v>
      </c>
      <c r="E53" s="44" t="n">
        <v>1.721</v>
      </c>
      <c r="F53" s="47" t="s">
        <v>334</v>
      </c>
      <c r="G53" s="48" t="n">
        <v>45831</v>
      </c>
      <c r="H53" s="38" t="n">
        <v>9.53</v>
      </c>
      <c r="I53" s="38" t="n">
        <v>2.002</v>
      </c>
      <c r="J53" s="38" t="n">
        <v>324</v>
      </c>
      <c r="K53" s="38" t="n">
        <v>16.218</v>
      </c>
      <c r="L53" s="38" t="n">
        <v>13.5</v>
      </c>
      <c r="M53" s="38" t="n">
        <v>0.646</v>
      </c>
    </row>
    <row r="54" customFormat="false" ht="15" hidden="false" customHeight="false" outlineLevel="0" collapsed="false">
      <c r="A54" s="38" t="s">
        <v>224</v>
      </c>
      <c r="B54" s="44" t="s">
        <v>225</v>
      </c>
      <c r="C54" s="45" t="s">
        <v>141</v>
      </c>
      <c r="D54" s="46" t="n">
        <v>1</v>
      </c>
      <c r="E54" s="44" t="n">
        <v>1.525</v>
      </c>
      <c r="F54" s="47" t="s">
        <v>334</v>
      </c>
      <c r="G54" s="48" t="n">
        <v>45835</v>
      </c>
      <c r="H54" s="38" t="n">
        <v>113</v>
      </c>
      <c r="I54" s="38" t="n">
        <v>7.685</v>
      </c>
      <c r="J54" s="38" t="n">
        <v>1350</v>
      </c>
      <c r="K54" s="38" t="n">
        <v>67.418</v>
      </c>
      <c r="L54" s="38" t="n">
        <v>105</v>
      </c>
      <c r="M54" s="38" t="n">
        <v>4.499</v>
      </c>
    </row>
    <row r="55" customFormat="false" ht="15" hidden="false" customHeight="false" outlineLevel="0" collapsed="false">
      <c r="A55" s="38" t="s">
        <v>241</v>
      </c>
      <c r="B55" s="44" t="s">
        <v>234</v>
      </c>
      <c r="C55" s="45" t="s">
        <v>133</v>
      </c>
      <c r="D55" s="46" t="n">
        <v>1</v>
      </c>
      <c r="E55" s="44" t="n">
        <v>1.748</v>
      </c>
      <c r="F55" s="47" t="s">
        <v>334</v>
      </c>
      <c r="G55" s="48" t="n">
        <v>45859</v>
      </c>
      <c r="H55" s="38" t="n">
        <v>105</v>
      </c>
      <c r="I55" s="38" t="n">
        <v>7.903</v>
      </c>
      <c r="J55" s="38" t="n">
        <v>1480</v>
      </c>
      <c r="K55" s="38" t="n">
        <v>77.12</v>
      </c>
      <c r="L55" s="38" t="n">
        <v>207</v>
      </c>
      <c r="M55" s="38" t="n">
        <v>8.802</v>
      </c>
    </row>
    <row r="56" customFormat="false" ht="15" hidden="false" customHeight="false" outlineLevel="0" collapsed="false">
      <c r="A56" s="38" t="s">
        <v>242</v>
      </c>
      <c r="B56" s="44" t="s">
        <v>239</v>
      </c>
      <c r="C56" s="45" t="s">
        <v>129</v>
      </c>
      <c r="D56" s="46" t="n">
        <v>1</v>
      </c>
      <c r="E56" s="44" t="n">
        <v>1.742</v>
      </c>
      <c r="F56" s="47" t="s">
        <v>334</v>
      </c>
      <c r="G56" s="48" t="n">
        <v>45859</v>
      </c>
      <c r="H56" s="38" t="n">
        <v>29.3</v>
      </c>
      <c r="I56" s="38" t="n">
        <v>3.42</v>
      </c>
      <c r="J56" s="38" t="n">
        <v>574</v>
      </c>
      <c r="K56" s="38" t="n">
        <v>28.481</v>
      </c>
      <c r="L56" s="38" t="n">
        <v>24.4</v>
      </c>
      <c r="M56" s="38" t="n">
        <v>1.171</v>
      </c>
    </row>
    <row r="57" customFormat="false" ht="15" hidden="false" customHeight="false" outlineLevel="0" collapsed="false">
      <c r="A57" s="38" t="s">
        <v>251</v>
      </c>
      <c r="B57" s="44" t="s">
        <v>234</v>
      </c>
      <c r="C57" s="45" t="s">
        <v>126</v>
      </c>
      <c r="D57" s="46" t="n">
        <v>1</v>
      </c>
      <c r="E57" s="44" t="n">
        <v>1.618</v>
      </c>
      <c r="F57" s="47" t="s">
        <v>334</v>
      </c>
      <c r="G57" s="48" t="n">
        <v>45875</v>
      </c>
      <c r="H57" s="38" t="n">
        <v>116</v>
      </c>
      <c r="I57" s="38" t="n">
        <v>8.356</v>
      </c>
      <c r="J57" s="38" t="n">
        <v>1190</v>
      </c>
      <c r="K57" s="38" t="n">
        <v>56.589</v>
      </c>
      <c r="L57" s="38" t="n">
        <v>123</v>
      </c>
      <c r="M57" s="38" t="n">
        <v>5.042</v>
      </c>
    </row>
    <row r="58" customFormat="false" ht="15" hidden="false" customHeight="false" outlineLevel="0" collapsed="false">
      <c r="A58" s="38" t="s">
        <v>254</v>
      </c>
      <c r="B58" s="44" t="s">
        <v>88</v>
      </c>
      <c r="C58" s="45" t="s">
        <v>123</v>
      </c>
      <c r="D58" s="46" t="n">
        <v>1</v>
      </c>
      <c r="E58" s="44" t="n">
        <v>0.905</v>
      </c>
      <c r="F58" s="47" t="s">
        <v>334</v>
      </c>
      <c r="G58" s="48" t="n">
        <v>45876</v>
      </c>
      <c r="H58" s="38" t="n">
        <v>97.6</v>
      </c>
      <c r="I58" s="38" t="n">
        <v>7.109</v>
      </c>
      <c r="J58" s="38" t="n">
        <v>209</v>
      </c>
      <c r="K58" s="38" t="n">
        <v>13.74</v>
      </c>
      <c r="L58" s="38" t="n">
        <v>66.5</v>
      </c>
      <c r="M58" s="38" t="n">
        <v>2.896</v>
      </c>
    </row>
    <row r="59" customFormat="false" ht="15" hidden="false" customHeight="false" outlineLevel="0" collapsed="false">
      <c r="A59" s="38" t="s">
        <v>255</v>
      </c>
      <c r="B59" s="44" t="s">
        <v>88</v>
      </c>
      <c r="C59" s="45" t="s">
        <v>120</v>
      </c>
      <c r="D59" s="46" t="n">
        <v>1</v>
      </c>
      <c r="E59" s="44" t="n">
        <v>0.876</v>
      </c>
      <c r="F59" s="47" t="s">
        <v>334</v>
      </c>
      <c r="G59" s="48" t="n">
        <v>45876</v>
      </c>
      <c r="H59" s="38" t="n">
        <v>63.4</v>
      </c>
      <c r="I59" s="38" t="n">
        <v>6.553</v>
      </c>
      <c r="J59" s="38" t="n">
        <v>230</v>
      </c>
      <c r="K59" s="38" t="n">
        <v>16.759</v>
      </c>
      <c r="L59" s="38" t="n">
        <v>49.7</v>
      </c>
      <c r="M59" s="38" t="n">
        <v>2.536</v>
      </c>
    </row>
    <row r="60" customFormat="false" ht="15" hidden="false" customHeight="false" outlineLevel="0" collapsed="false">
      <c r="A60" s="38" t="s">
        <v>256</v>
      </c>
      <c r="B60" s="44" t="s">
        <v>99</v>
      </c>
      <c r="C60" s="45" t="s">
        <v>117</v>
      </c>
      <c r="D60" s="46" t="n">
        <v>1</v>
      </c>
      <c r="E60" s="44" t="n">
        <v>1.355</v>
      </c>
      <c r="F60" s="47" t="s">
        <v>334</v>
      </c>
      <c r="G60" s="48" t="n">
        <v>45807</v>
      </c>
      <c r="H60" s="38" t="n">
        <v>42.4</v>
      </c>
      <c r="I60" s="38" t="n">
        <v>3.949</v>
      </c>
      <c r="J60" s="38" t="n">
        <v>460</v>
      </c>
      <c r="K60" s="38" t="n">
        <v>23.427</v>
      </c>
      <c r="L60" s="38" t="n">
        <v>27.4</v>
      </c>
      <c r="M60" s="38" t="n">
        <v>1.292</v>
      </c>
    </row>
    <row r="61" customFormat="false" ht="15" hidden="false" customHeight="false" outlineLevel="0" collapsed="false">
      <c r="A61" s="38" t="s">
        <v>257</v>
      </c>
      <c r="B61" s="44" t="s">
        <v>99</v>
      </c>
      <c r="C61" s="45" t="s">
        <v>114</v>
      </c>
      <c r="D61" s="46" t="n">
        <v>1</v>
      </c>
      <c r="E61" s="44" t="n">
        <v>1.567</v>
      </c>
      <c r="F61" s="47" t="s">
        <v>334</v>
      </c>
      <c r="G61" s="48" t="n">
        <v>45807</v>
      </c>
      <c r="H61" s="38" t="n">
        <v>19.1</v>
      </c>
      <c r="I61" s="38" t="n">
        <v>2.491</v>
      </c>
      <c r="J61" s="38" t="n">
        <v>285</v>
      </c>
      <c r="K61" s="38" t="n">
        <v>15.479</v>
      </c>
      <c r="L61" s="38" t="n">
        <v>12.1</v>
      </c>
      <c r="M61" s="38" t="n">
        <v>0.659</v>
      </c>
    </row>
    <row r="62" customFormat="false" ht="15" hidden="false" customHeight="false" outlineLevel="0" collapsed="false">
      <c r="A62" s="38" t="s">
        <v>258</v>
      </c>
      <c r="B62" s="44" t="s">
        <v>99</v>
      </c>
      <c r="C62" s="45" t="s">
        <v>111</v>
      </c>
      <c r="D62" s="46" t="n">
        <v>1</v>
      </c>
      <c r="E62" s="44" t="n">
        <v>1.574</v>
      </c>
      <c r="F62" s="47" t="s">
        <v>334</v>
      </c>
      <c r="G62" s="48" t="n">
        <v>45807</v>
      </c>
      <c r="H62" s="38" t="n">
        <v>8.44</v>
      </c>
      <c r="I62" s="38" t="n">
        <v>1.74</v>
      </c>
      <c r="J62" s="38" t="n">
        <v>225</v>
      </c>
      <c r="K62" s="38" t="n">
        <v>12.649</v>
      </c>
      <c r="L62" s="38" t="n">
        <v>8.17</v>
      </c>
      <c r="M62" s="38" t="n">
        <v>0.45</v>
      </c>
    </row>
    <row r="63" customFormat="false" ht="15" hidden="false" customHeight="false" outlineLevel="0" collapsed="false">
      <c r="A63" s="38" t="s">
        <v>259</v>
      </c>
      <c r="B63" s="44" t="s">
        <v>99</v>
      </c>
      <c r="C63" s="45" t="s">
        <v>108</v>
      </c>
      <c r="D63" s="46" t="n">
        <v>1</v>
      </c>
      <c r="E63" s="44" t="n">
        <v>1.72</v>
      </c>
      <c r="F63" s="47" t="s">
        <v>334</v>
      </c>
      <c r="G63" s="48" t="n">
        <v>45666</v>
      </c>
      <c r="H63" s="38" t="n">
        <v>15.6</v>
      </c>
      <c r="I63" s="38" t="n">
        <v>2.37</v>
      </c>
      <c r="J63" s="38" t="n">
        <v>403</v>
      </c>
      <c r="K63" s="38" t="n">
        <v>20.778</v>
      </c>
      <c r="L63" s="38" t="n">
        <v>11.1</v>
      </c>
      <c r="M63" s="38" t="n">
        <v>0.624</v>
      </c>
    </row>
    <row r="64" customFormat="false" ht="15" hidden="false" customHeight="false" outlineLevel="0" collapsed="false">
      <c r="A64" s="38" t="s">
        <v>260</v>
      </c>
      <c r="B64" s="44" t="s">
        <v>261</v>
      </c>
      <c r="C64" s="45" t="s">
        <v>104</v>
      </c>
      <c r="D64" s="46" t="n">
        <v>1</v>
      </c>
      <c r="E64" s="44" t="n">
        <v>1.675</v>
      </c>
      <c r="F64" s="47" t="s">
        <v>334</v>
      </c>
      <c r="G64" s="48" t="n">
        <v>45895</v>
      </c>
      <c r="H64" s="38" t="n">
        <v>152</v>
      </c>
      <c r="I64" s="38" t="n">
        <v>9.21</v>
      </c>
      <c r="J64" s="38" t="n">
        <v>1390</v>
      </c>
      <c r="K64" s="38" t="n">
        <v>64.73</v>
      </c>
      <c r="L64" s="38" t="n">
        <v>218</v>
      </c>
      <c r="M64" s="38" t="n">
        <v>8.231</v>
      </c>
    </row>
    <row r="65" customFormat="false" ht="15" hidden="false" customHeight="false" outlineLevel="0" collapsed="false">
      <c r="A65" s="38" t="s">
        <v>266</v>
      </c>
      <c r="B65" s="44" t="s">
        <v>200</v>
      </c>
      <c r="C65" s="45" t="s">
        <v>97</v>
      </c>
      <c r="D65" s="46" t="n">
        <v>1</v>
      </c>
      <c r="E65" s="44" t="n">
        <v>1.811</v>
      </c>
      <c r="F65" s="47" t="s">
        <v>334</v>
      </c>
      <c r="G65" s="48" t="n">
        <v>45897</v>
      </c>
      <c r="H65" s="38" t="n">
        <v>19</v>
      </c>
      <c r="I65" s="38" t="n">
        <v>2.635</v>
      </c>
      <c r="J65" s="38" t="n">
        <v>597</v>
      </c>
      <c r="K65" s="38" t="n">
        <v>29.443</v>
      </c>
      <c r="L65" s="38" t="n">
        <v>14.6</v>
      </c>
      <c r="M65" s="38" t="n">
        <v>0.755</v>
      </c>
    </row>
    <row r="66" customFormat="false" ht="15" hidden="false" customHeight="false" outlineLevel="0" collapsed="false">
      <c r="A66" s="38" t="s">
        <v>267</v>
      </c>
      <c r="B66" s="44" t="s">
        <v>268</v>
      </c>
      <c r="C66" s="45" t="s">
        <v>93</v>
      </c>
      <c r="D66" s="46" t="n">
        <v>1</v>
      </c>
      <c r="E66" s="44" t="n">
        <v>1.672</v>
      </c>
      <c r="F66" s="47" t="s">
        <v>334</v>
      </c>
      <c r="G66" s="48" t="n">
        <v>45897</v>
      </c>
      <c r="H66" s="38" t="n">
        <v>13.4</v>
      </c>
      <c r="I66" s="38" t="n">
        <v>2.351</v>
      </c>
      <c r="J66" s="38" t="n">
        <v>334</v>
      </c>
      <c r="K66" s="38" t="n">
        <v>17.427</v>
      </c>
      <c r="L66" s="38" t="n">
        <v>18.3</v>
      </c>
      <c r="M66" s="38" t="n">
        <v>0.897</v>
      </c>
    </row>
    <row r="67" customFormat="false" ht="15" hidden="false" customHeight="false" outlineLevel="0" collapsed="false">
      <c r="A67" s="38" t="s">
        <v>276</v>
      </c>
      <c r="B67" s="44" t="s">
        <v>99</v>
      </c>
      <c r="C67" s="45" t="s">
        <v>80</v>
      </c>
      <c r="D67" s="46" t="n">
        <v>1</v>
      </c>
      <c r="E67" s="44" t="n">
        <v>1.611</v>
      </c>
      <c r="F67" s="47" t="s">
        <v>334</v>
      </c>
      <c r="G67" s="48" t="n">
        <v>45862</v>
      </c>
      <c r="H67" s="38" t="n">
        <v>33.7</v>
      </c>
      <c r="I67" s="38" t="n">
        <v>3.585</v>
      </c>
      <c r="J67" s="38" t="n">
        <v>579</v>
      </c>
      <c r="K67" s="38" t="n">
        <v>29.688</v>
      </c>
      <c r="L67" s="38" t="n">
        <v>35.3</v>
      </c>
      <c r="M67" s="38" t="n">
        <v>1.642</v>
      </c>
    </row>
    <row r="68" customFormat="false" ht="15" hidden="false" customHeight="false" outlineLevel="0" collapsed="false">
      <c r="A68" s="38" t="s">
        <v>277</v>
      </c>
      <c r="B68" s="44" t="s">
        <v>17</v>
      </c>
      <c r="C68" s="45" t="s">
        <v>76</v>
      </c>
      <c r="D68" s="46" t="n">
        <v>1</v>
      </c>
      <c r="E68" s="44" t="n">
        <v>1.2</v>
      </c>
      <c r="F68" s="47" t="s">
        <v>334</v>
      </c>
      <c r="G68" s="48" t="n">
        <v>45951</v>
      </c>
      <c r="H68" s="38" t="n">
        <v>55.8</v>
      </c>
      <c r="I68" s="38" t="n">
        <v>3.35</v>
      </c>
      <c r="J68" s="38" t="n">
        <v>149</v>
      </c>
      <c r="K68" s="38" t="n">
        <v>8.94</v>
      </c>
      <c r="L68" s="38" t="n">
        <v>63.3</v>
      </c>
      <c r="M68" s="38" t="n">
        <v>3.8</v>
      </c>
    </row>
    <row r="69" customFormat="false" ht="15" hidden="false" customHeight="false" outlineLevel="0" collapsed="false">
      <c r="A69" s="38" t="s">
        <v>280</v>
      </c>
      <c r="B69" s="44" t="s">
        <v>25</v>
      </c>
      <c r="C69" s="45" t="s">
        <v>72</v>
      </c>
      <c r="D69" s="46" t="n">
        <v>1</v>
      </c>
      <c r="E69" s="44" t="n">
        <v>1.217</v>
      </c>
      <c r="F69" s="47" t="s">
        <v>334</v>
      </c>
      <c r="G69" s="48" t="n">
        <v>45946</v>
      </c>
      <c r="H69" s="38" t="n">
        <v>51.1</v>
      </c>
      <c r="I69" s="38" t="n">
        <v>3.07</v>
      </c>
      <c r="J69" s="38" t="n">
        <v>135</v>
      </c>
      <c r="K69" s="38" t="n">
        <v>8.1</v>
      </c>
      <c r="L69" s="38" t="n">
        <v>52.1</v>
      </c>
      <c r="M69" s="38" t="n">
        <v>3.13</v>
      </c>
    </row>
    <row r="70" customFormat="false" ht="15" hidden="false" customHeight="false" outlineLevel="0" collapsed="false">
      <c r="A70" s="38" t="s">
        <v>283</v>
      </c>
      <c r="B70" s="44" t="s">
        <v>88</v>
      </c>
      <c r="C70" s="45" t="s">
        <v>68</v>
      </c>
      <c r="D70" s="46" t="n">
        <v>1</v>
      </c>
      <c r="E70" s="44" t="n">
        <v>0.922</v>
      </c>
      <c r="F70" s="47" t="s">
        <v>334</v>
      </c>
      <c r="G70" s="48" t="n">
        <v>45922</v>
      </c>
      <c r="H70" s="38" t="n">
        <v>83</v>
      </c>
      <c r="I70" s="38" t="n">
        <v>6.4</v>
      </c>
      <c r="J70" s="38" t="n">
        <v>359</v>
      </c>
      <c r="K70" s="38" t="n">
        <v>19.67</v>
      </c>
      <c r="L70" s="38" t="n">
        <v>68.4</v>
      </c>
      <c r="M70" s="38" t="n">
        <v>3.068</v>
      </c>
    </row>
    <row r="71" customFormat="false" ht="15" hidden="false" customHeight="false" outlineLevel="0" collapsed="false">
      <c r="A71" s="38" t="s">
        <v>284</v>
      </c>
      <c r="B71" s="44" t="s">
        <v>99</v>
      </c>
      <c r="C71" s="45" t="s">
        <v>61</v>
      </c>
      <c r="D71" s="46" t="n">
        <v>1</v>
      </c>
      <c r="E71" s="44" t="n">
        <v>1.547</v>
      </c>
      <c r="F71" s="47" t="s">
        <v>334</v>
      </c>
      <c r="G71" s="48" t="n">
        <v>45923</v>
      </c>
      <c r="H71" s="38" t="n">
        <v>17.5</v>
      </c>
      <c r="I71" s="38" t="n">
        <v>2.418</v>
      </c>
      <c r="J71" s="38" t="n">
        <v>346</v>
      </c>
      <c r="K71" s="38" t="n">
        <v>18.288</v>
      </c>
      <c r="L71" s="38" t="n">
        <v>17.9</v>
      </c>
      <c r="M71" s="38" t="n">
        <v>0.905</v>
      </c>
    </row>
    <row r="72" customFormat="false" ht="15" hidden="false" customHeight="false" outlineLevel="0" collapsed="false">
      <c r="A72" s="38" t="s">
        <v>295</v>
      </c>
      <c r="B72" s="44" t="s">
        <v>296</v>
      </c>
      <c r="C72" s="45" t="s">
        <v>59</v>
      </c>
      <c r="D72" s="46" t="n">
        <v>1</v>
      </c>
      <c r="E72" s="44" t="n">
        <v>0.992</v>
      </c>
      <c r="F72" s="47" t="s">
        <v>334</v>
      </c>
      <c r="G72" s="48" t="n">
        <v>45972</v>
      </c>
      <c r="H72" s="38" t="n">
        <v>111</v>
      </c>
      <c r="I72" s="38" t="n">
        <v>6.67</v>
      </c>
      <c r="J72" s="38" t="n">
        <v>363</v>
      </c>
      <c r="K72" s="38" t="n">
        <v>21.78</v>
      </c>
      <c r="L72" s="38" t="n">
        <v>98.8</v>
      </c>
      <c r="M72" s="38" t="n">
        <v>5.93</v>
      </c>
    </row>
    <row r="73" customFormat="false" ht="15" hidden="false" customHeight="false" outlineLevel="0" collapsed="false">
      <c r="A73" s="38" t="s">
        <v>297</v>
      </c>
      <c r="B73" s="44" t="s">
        <v>21</v>
      </c>
      <c r="C73" s="45" t="s">
        <v>57</v>
      </c>
      <c r="D73" s="46" t="n">
        <v>1</v>
      </c>
      <c r="E73" s="44" t="n">
        <v>1.164</v>
      </c>
      <c r="F73" s="47" t="s">
        <v>334</v>
      </c>
      <c r="G73" s="48" t="n">
        <v>45972</v>
      </c>
      <c r="H73" s="38" t="n">
        <v>107</v>
      </c>
      <c r="I73" s="38" t="n">
        <v>6.42</v>
      </c>
      <c r="J73" s="38" t="n">
        <v>361</v>
      </c>
      <c r="K73" s="38" t="n">
        <v>21.63</v>
      </c>
      <c r="L73" s="38" t="n">
        <v>96.4</v>
      </c>
      <c r="M73" s="38" t="n">
        <v>5.78</v>
      </c>
    </row>
    <row r="74" customFormat="false" ht="15" hidden="false" customHeight="false" outlineLevel="0" collapsed="false">
      <c r="A74" s="38" t="s">
        <v>298</v>
      </c>
      <c r="B74" s="44" t="s">
        <v>299</v>
      </c>
      <c r="C74" s="45" t="s">
        <v>50</v>
      </c>
      <c r="D74" s="46" t="n">
        <v>1</v>
      </c>
      <c r="E74" s="44" t="n">
        <v>0.948</v>
      </c>
      <c r="F74" s="47" t="s">
        <v>334</v>
      </c>
      <c r="G74" s="48" t="n">
        <v>45975</v>
      </c>
      <c r="H74" s="38" t="n">
        <v>106</v>
      </c>
      <c r="I74" s="38" t="n">
        <v>6.38</v>
      </c>
      <c r="J74" s="38" t="n">
        <v>189</v>
      </c>
      <c r="K74" s="38" t="n">
        <v>11.36</v>
      </c>
      <c r="L74" s="38" t="n">
        <v>90.6</v>
      </c>
      <c r="M74" s="38" t="n">
        <v>5.44</v>
      </c>
    </row>
    <row r="75" customFormat="false" ht="15" hidden="false" customHeight="false" outlineLevel="0" collapsed="false">
      <c r="A75" s="38" t="s">
        <v>307</v>
      </c>
      <c r="B75" s="44" t="s">
        <v>88</v>
      </c>
      <c r="C75" s="45" t="s">
        <v>47</v>
      </c>
      <c r="D75" s="46" t="n">
        <v>1</v>
      </c>
      <c r="E75" s="44" t="n">
        <v>0.765</v>
      </c>
      <c r="F75" s="47" t="s">
        <v>334</v>
      </c>
      <c r="G75" s="48" t="n">
        <v>45960</v>
      </c>
      <c r="H75" s="38" t="n">
        <v>141</v>
      </c>
      <c r="I75" s="38" t="n">
        <v>10.968</v>
      </c>
      <c r="J75" s="38" t="n">
        <v>456</v>
      </c>
      <c r="K75" s="38" t="n">
        <v>28.142</v>
      </c>
      <c r="L75" s="38" t="n">
        <v>92.2</v>
      </c>
      <c r="M75" s="38" t="n">
        <v>4.429</v>
      </c>
    </row>
    <row r="76" customFormat="false" ht="15" hidden="false" customHeight="false" outlineLevel="0" collapsed="false">
      <c r="A76" s="39" t="s">
        <v>16</v>
      </c>
      <c r="B76" s="50" t="s">
        <v>17</v>
      </c>
      <c r="C76" s="51" t="s">
        <v>18</v>
      </c>
      <c r="D76" s="52" t="n">
        <v>1</v>
      </c>
      <c r="E76" s="50" t="n">
        <v>1.011</v>
      </c>
      <c r="F76" s="53" t="s">
        <v>335</v>
      </c>
      <c r="G76" s="54" t="n">
        <v>45574</v>
      </c>
      <c r="H76" s="39" t="n">
        <v>64.5560619476803</v>
      </c>
      <c r="I76" s="39" t="n">
        <v>0.134089802464921</v>
      </c>
      <c r="J76" s="39" t="n">
        <v>158.97835576771</v>
      </c>
      <c r="K76" s="39" t="n">
        <v>1.20195029804018</v>
      </c>
      <c r="L76" s="39" t="n">
        <v>63.23507779338</v>
      </c>
      <c r="M76" s="39" t="n">
        <v>0.0810884726715706</v>
      </c>
    </row>
    <row r="77" customFormat="false" ht="15" hidden="false" customHeight="false" outlineLevel="0" collapsed="false">
      <c r="A77" s="39" t="s">
        <v>20</v>
      </c>
      <c r="B77" s="50" t="s">
        <v>21</v>
      </c>
      <c r="C77" s="51" t="s">
        <v>22</v>
      </c>
      <c r="D77" s="52" t="n">
        <v>1</v>
      </c>
      <c r="E77" s="50" t="n">
        <v>0.926</v>
      </c>
      <c r="F77" s="53" t="s">
        <v>335</v>
      </c>
      <c r="G77" s="54" t="n">
        <v>45572</v>
      </c>
      <c r="H77" s="39" t="n">
        <v>74.9649747261114</v>
      </c>
      <c r="I77" s="39" t="n">
        <v>0.189346038529194</v>
      </c>
      <c r="J77" s="39" t="n">
        <v>182.522136942138</v>
      </c>
      <c r="K77" s="39" t="n">
        <v>1.98254236614224</v>
      </c>
      <c r="L77" s="39" t="n">
        <v>71.3482049310463</v>
      </c>
      <c r="M77" s="39" t="n">
        <v>0.114503719063659</v>
      </c>
    </row>
    <row r="78" customFormat="false" ht="15" hidden="false" customHeight="false" outlineLevel="0" collapsed="false">
      <c r="A78" s="39" t="s">
        <v>24</v>
      </c>
      <c r="B78" s="50" t="s">
        <v>25</v>
      </c>
      <c r="C78" s="51" t="s">
        <v>26</v>
      </c>
      <c r="D78" s="52" t="n">
        <v>1</v>
      </c>
      <c r="E78" s="50" t="n">
        <v>0.948</v>
      </c>
      <c r="F78" s="53" t="s">
        <v>335</v>
      </c>
      <c r="G78" s="54" t="n">
        <v>45574</v>
      </c>
      <c r="H78" s="39" t="n">
        <v>67.1568760167224</v>
      </c>
      <c r="I78" s="39" t="n">
        <v>0.164398131462341</v>
      </c>
      <c r="J78" s="39" t="n">
        <v>192.166419011103</v>
      </c>
      <c r="K78" s="39" t="n">
        <v>1.88781180643869</v>
      </c>
      <c r="L78" s="39" t="n">
        <v>60.3359111446931</v>
      </c>
      <c r="M78" s="39" t="n">
        <v>0.0994169067690946</v>
      </c>
    </row>
    <row r="79" customFormat="false" ht="15" hidden="false" customHeight="false" outlineLevel="0" collapsed="false">
      <c r="A79" s="39" t="s">
        <v>28</v>
      </c>
      <c r="B79" s="50" t="s">
        <v>29</v>
      </c>
      <c r="C79" s="51" t="s">
        <v>30</v>
      </c>
      <c r="D79" s="52" t="n">
        <v>1</v>
      </c>
      <c r="E79" s="50" t="n">
        <v>0.893</v>
      </c>
      <c r="F79" s="53" t="s">
        <v>335</v>
      </c>
      <c r="G79" s="54" t="n">
        <v>45590</v>
      </c>
      <c r="H79" s="39" t="n">
        <v>73.4928514688557</v>
      </c>
      <c r="I79" s="39" t="n">
        <v>0.210029444658311</v>
      </c>
      <c r="J79" s="39" t="n">
        <v>268.055903489806</v>
      </c>
      <c r="K79" s="39" t="n">
        <v>1.9616671586033</v>
      </c>
      <c r="L79" s="39" t="n">
        <v>65.155818197239</v>
      </c>
      <c r="M79" s="39" t="n">
        <v>0.127011648688618</v>
      </c>
    </row>
    <row r="80" customFormat="false" ht="15" hidden="false" customHeight="false" outlineLevel="0" collapsed="false">
      <c r="A80" s="39" t="s">
        <v>32</v>
      </c>
      <c r="B80" s="50" t="s">
        <v>33</v>
      </c>
      <c r="C80" s="51" t="s">
        <v>34</v>
      </c>
      <c r="D80" s="52" t="n">
        <v>1</v>
      </c>
      <c r="E80" s="50" t="n">
        <v>0.989</v>
      </c>
      <c r="F80" s="53" t="s">
        <v>335</v>
      </c>
      <c r="G80" s="54" t="n">
        <v>45594</v>
      </c>
      <c r="H80" s="39" t="n">
        <v>116.976817595999</v>
      </c>
      <c r="I80" s="39" t="n">
        <v>0.260743692609229</v>
      </c>
      <c r="J80" s="39" t="n">
        <v>355.595244972845</v>
      </c>
      <c r="K80" s="39" t="n">
        <v>2.34559876220462</v>
      </c>
      <c r="L80" s="39" t="n">
        <v>93.4999872951485</v>
      </c>
      <c r="M80" s="39" t="n">
        <v>0.157680206874488</v>
      </c>
    </row>
    <row r="81" customFormat="false" ht="15" hidden="false" customHeight="false" outlineLevel="0" collapsed="false">
      <c r="A81" s="39" t="s">
        <v>36</v>
      </c>
      <c r="B81" s="50" t="s">
        <v>37</v>
      </c>
      <c r="C81" s="51" t="s">
        <v>38</v>
      </c>
      <c r="D81" s="52" t="n">
        <v>1</v>
      </c>
      <c r="E81" s="50" t="n">
        <v>0.676</v>
      </c>
      <c r="F81" s="53" t="s">
        <v>335</v>
      </c>
      <c r="G81" s="54" t="n">
        <v>45616</v>
      </c>
      <c r="H81" s="39" t="n">
        <v>90.1457279917636</v>
      </c>
      <c r="I81" s="39" t="n">
        <v>0.332630182361533</v>
      </c>
      <c r="J81" s="39" t="n">
        <v>193.317203383532</v>
      </c>
      <c r="K81" s="39" t="n">
        <v>2.41127887060048</v>
      </c>
      <c r="L81" s="39" t="n">
        <v>83.8055689623295</v>
      </c>
      <c r="M81" s="39" t="n">
        <v>0.173784660824283</v>
      </c>
    </row>
    <row r="82" customFormat="false" ht="15" hidden="false" customHeight="false" outlineLevel="0" collapsed="false">
      <c r="A82" s="39" t="s">
        <v>44</v>
      </c>
      <c r="B82" s="50" t="s">
        <v>45</v>
      </c>
      <c r="C82" s="51" t="s">
        <v>46</v>
      </c>
      <c r="D82" s="52" t="n">
        <v>1</v>
      </c>
      <c r="E82" s="50" t="n">
        <v>0.888</v>
      </c>
      <c r="F82" s="53" t="s">
        <v>335</v>
      </c>
      <c r="G82" s="54" t="n">
        <v>45617</v>
      </c>
      <c r="H82" s="39" t="n">
        <v>90.502035046899</v>
      </c>
      <c r="I82" s="39" t="n">
        <v>0.222601705103518</v>
      </c>
      <c r="J82" s="39" t="n">
        <v>132.589027558138</v>
      </c>
      <c r="K82" s="39" t="n">
        <v>1.83163961489041</v>
      </c>
      <c r="L82" s="39" t="n">
        <v>72.5982338202777</v>
      </c>
      <c r="M82" s="39" t="n">
        <v>0.116299614020822</v>
      </c>
    </row>
    <row r="83" customFormat="false" ht="15" hidden="false" customHeight="false" outlineLevel="0" collapsed="false">
      <c r="A83" s="39" t="s">
        <v>48</v>
      </c>
      <c r="B83" s="50" t="s">
        <v>49</v>
      </c>
      <c r="C83" s="51" t="s">
        <v>43</v>
      </c>
      <c r="D83" s="52" t="n">
        <v>1</v>
      </c>
      <c r="E83" s="50" t="n">
        <v>1.167</v>
      </c>
      <c r="F83" s="53" t="s">
        <v>335</v>
      </c>
      <c r="G83" s="54" t="n">
        <v>45630</v>
      </c>
      <c r="H83" s="39" t="n">
        <v>61.8754581918904</v>
      </c>
      <c r="I83" s="39" t="n">
        <v>0.167562465086585</v>
      </c>
      <c r="J83" s="39" t="n">
        <v>151.309678984745</v>
      </c>
      <c r="K83" s="39" t="n">
        <v>1.06969447131536</v>
      </c>
      <c r="L83" s="39" t="n">
        <v>55.7424692838134</v>
      </c>
      <c r="M83" s="39" t="n">
        <v>0.0875440284919871</v>
      </c>
    </row>
    <row r="84" customFormat="false" ht="15" hidden="false" customHeight="false" outlineLevel="0" collapsed="false">
      <c r="A84" s="39" t="s">
        <v>53</v>
      </c>
      <c r="B84" s="50" t="s">
        <v>54</v>
      </c>
      <c r="C84" s="51" t="s">
        <v>39</v>
      </c>
      <c r="D84" s="52" t="n">
        <v>1</v>
      </c>
      <c r="E84" s="50" t="n">
        <v>0.697</v>
      </c>
      <c r="F84" s="53" t="s">
        <v>335</v>
      </c>
      <c r="G84" s="54" t="n">
        <v>45637</v>
      </c>
      <c r="H84" s="39" t="n">
        <v>80.8129804408273</v>
      </c>
      <c r="I84" s="39" t="n">
        <v>0.248715847247313</v>
      </c>
      <c r="J84" s="39" t="n">
        <v>280.693815023551</v>
      </c>
      <c r="K84" s="39" t="n">
        <v>1.70274633021291</v>
      </c>
      <c r="L84" s="39" t="n">
        <v>65.8585845378725</v>
      </c>
      <c r="M84" s="39" t="n">
        <v>0.129943106330981</v>
      </c>
    </row>
    <row r="85" customFormat="false" ht="15" hidden="false" customHeight="false" outlineLevel="0" collapsed="false">
      <c r="A85" s="39" t="s">
        <v>55</v>
      </c>
      <c r="B85" s="50" t="s">
        <v>56</v>
      </c>
      <c r="C85" s="51" t="s">
        <v>35</v>
      </c>
      <c r="D85" s="52" t="n">
        <v>1</v>
      </c>
      <c r="E85" s="50" t="n">
        <v>1.369</v>
      </c>
      <c r="F85" s="53" t="s">
        <v>335</v>
      </c>
      <c r="G85" s="54" t="n">
        <v>45616</v>
      </c>
      <c r="H85" s="39" t="n">
        <v>40.118118805122</v>
      </c>
      <c r="I85" s="39" t="n">
        <v>0.173569237802588</v>
      </c>
      <c r="J85" s="39" t="n">
        <v>608.906647039686</v>
      </c>
      <c r="K85" s="39" t="n">
        <v>1.49414398594407</v>
      </c>
      <c r="L85" s="39" t="n">
        <v>39.5212512215124</v>
      </c>
      <c r="M85" s="39" t="n">
        <v>0.0906823034124651</v>
      </c>
    </row>
    <row r="86" customFormat="false" ht="15" hidden="false" customHeight="false" outlineLevel="0" collapsed="false">
      <c r="A86" s="39" t="s">
        <v>58</v>
      </c>
      <c r="B86" s="50" t="s">
        <v>56</v>
      </c>
      <c r="C86" s="51" t="s">
        <v>31</v>
      </c>
      <c r="D86" s="52" t="n">
        <v>1</v>
      </c>
      <c r="E86" s="50" t="n">
        <v>1.289</v>
      </c>
      <c r="F86" s="53" t="s">
        <v>335</v>
      </c>
      <c r="G86" s="54" t="n">
        <v>45616</v>
      </c>
      <c r="H86" s="39" t="n">
        <v>60.6608909961946</v>
      </c>
      <c r="I86" s="39" t="n">
        <v>0.201639143667731</v>
      </c>
      <c r="J86" s="39" t="n">
        <v>652.393893675392</v>
      </c>
      <c r="K86" s="39" t="n">
        <v>1.66773637059302</v>
      </c>
      <c r="L86" s="39" t="n">
        <v>53.7291452452277</v>
      </c>
      <c r="M86" s="39" t="n">
        <v>0.105347596367875</v>
      </c>
    </row>
    <row r="87" customFormat="false" ht="15" hidden="false" customHeight="false" outlineLevel="0" collapsed="false">
      <c r="A87" s="39" t="s">
        <v>60</v>
      </c>
      <c r="B87" s="50" t="s">
        <v>56</v>
      </c>
      <c r="C87" s="51" t="s">
        <v>27</v>
      </c>
      <c r="D87" s="52" t="n">
        <v>1</v>
      </c>
      <c r="E87" s="50" t="n">
        <v>1.331</v>
      </c>
      <c r="F87" s="53" t="s">
        <v>335</v>
      </c>
      <c r="G87" s="54" t="n">
        <v>45616</v>
      </c>
      <c r="H87" s="39" t="n">
        <v>71.750564304316</v>
      </c>
      <c r="I87" s="39" t="n">
        <v>0.264114858546158</v>
      </c>
      <c r="J87" s="39" t="n">
        <v>596.163523682319</v>
      </c>
      <c r="K87" s="39" t="n">
        <v>2.00053681545908</v>
      </c>
      <c r="L87" s="39" t="n">
        <v>62.8484356711324</v>
      </c>
      <c r="M87" s="39" t="n">
        <v>0.137988413394218</v>
      </c>
    </row>
    <row r="88" customFormat="false" ht="15" hidden="false" customHeight="false" outlineLevel="0" collapsed="false">
      <c r="A88" s="39" t="s">
        <v>62</v>
      </c>
      <c r="B88" s="50" t="s">
        <v>63</v>
      </c>
      <c r="C88" s="51" t="s">
        <v>23</v>
      </c>
      <c r="D88" s="52" t="n">
        <v>1</v>
      </c>
      <c r="E88" s="50" t="n">
        <v>1.318</v>
      </c>
      <c r="F88" s="53" t="s">
        <v>335</v>
      </c>
      <c r="G88" s="54" t="n">
        <v>45610</v>
      </c>
      <c r="H88" s="39" t="n">
        <v>40.1191089858174</v>
      </c>
      <c r="I88" s="39" t="n">
        <v>0.186421085992625</v>
      </c>
      <c r="J88" s="39" t="n">
        <v>685.603757129155</v>
      </c>
      <c r="K88" s="39" t="n">
        <v>1.95648183750487</v>
      </c>
      <c r="L88" s="39" t="n">
        <v>51.6403636209346</v>
      </c>
      <c r="M88" s="39" t="n">
        <v>0.0973968296253726</v>
      </c>
    </row>
    <row r="89" customFormat="false" ht="15" hidden="false" customHeight="false" outlineLevel="0" collapsed="false">
      <c r="A89" s="39" t="s">
        <v>66</v>
      </c>
      <c r="B89" s="50" t="s">
        <v>67</v>
      </c>
      <c r="C89" s="51" t="s">
        <v>19</v>
      </c>
      <c r="D89" s="52" t="n">
        <v>1</v>
      </c>
      <c r="E89" s="50" t="n">
        <v>1.27</v>
      </c>
      <c r="F89" s="53" t="s">
        <v>335</v>
      </c>
      <c r="G89" s="54" t="n">
        <v>45611</v>
      </c>
      <c r="H89" s="39" t="n">
        <v>33.0893901541463</v>
      </c>
      <c r="I89" s="39" t="n">
        <v>0.132781291178562</v>
      </c>
      <c r="J89" s="39" t="n">
        <v>670.546173359349</v>
      </c>
      <c r="K89" s="39" t="n">
        <v>1.57760699677948</v>
      </c>
      <c r="L89" s="39" t="n">
        <v>41.9022068200042</v>
      </c>
      <c r="M89" s="39" t="n">
        <v>0.069372392749965</v>
      </c>
    </row>
    <row r="90" customFormat="false" ht="15" hidden="false" customHeight="false" outlineLevel="0" collapsed="false">
      <c r="A90" s="39" t="s">
        <v>73</v>
      </c>
      <c r="B90" s="50" t="s">
        <v>74</v>
      </c>
      <c r="C90" s="51" t="s">
        <v>75</v>
      </c>
      <c r="D90" s="52" t="n">
        <v>1</v>
      </c>
      <c r="E90" s="55" t="n">
        <v>1.76</v>
      </c>
      <c r="F90" s="53" t="s">
        <v>335</v>
      </c>
      <c r="G90" s="54" t="n">
        <v>45588</v>
      </c>
      <c r="H90" s="39" t="n">
        <v>15.3728867202076</v>
      </c>
      <c r="I90" s="39" t="n">
        <v>0.134375691271271</v>
      </c>
      <c r="J90" s="39" t="n">
        <v>527.055012768486</v>
      </c>
      <c r="K90" s="39" t="n">
        <v>1.39486317519278</v>
      </c>
      <c r="L90" s="39" t="n">
        <v>19.5422511073124</v>
      </c>
      <c r="M90" s="39" t="n">
        <v>0.0812613589480412</v>
      </c>
    </row>
    <row r="91" customFormat="false" ht="15" hidden="false" customHeight="false" outlineLevel="0" collapsed="false">
      <c r="A91" s="39" t="s">
        <v>77</v>
      </c>
      <c r="B91" s="50" t="s">
        <v>78</v>
      </c>
      <c r="C91" s="51" t="s">
        <v>79</v>
      </c>
      <c r="D91" s="52" t="n">
        <v>1</v>
      </c>
      <c r="E91" s="50" t="n">
        <v>1.682</v>
      </c>
      <c r="F91" s="53" t="s">
        <v>335</v>
      </c>
      <c r="G91" s="54" t="n">
        <v>45610</v>
      </c>
      <c r="H91" s="39" t="n">
        <v>18.4733609524497</v>
      </c>
      <c r="I91" s="39" t="n">
        <v>0.106794163014887</v>
      </c>
      <c r="J91" s="39" t="n">
        <v>279.357851881903</v>
      </c>
      <c r="K91" s="39" t="n">
        <v>0.776233728033455</v>
      </c>
      <c r="L91" s="39" t="n">
        <v>15.5201592615485</v>
      </c>
      <c r="M91" s="39" t="n">
        <v>0.0645819101074551</v>
      </c>
    </row>
    <row r="92" customFormat="false" ht="15" hidden="false" customHeight="false" outlineLevel="0" collapsed="false">
      <c r="A92" s="39" t="s">
        <v>84</v>
      </c>
      <c r="B92" s="50" t="s">
        <v>85</v>
      </c>
      <c r="C92" s="51" t="s">
        <v>86</v>
      </c>
      <c r="D92" s="52" t="n">
        <v>1</v>
      </c>
      <c r="E92" s="50" t="n">
        <v>1.849</v>
      </c>
      <c r="F92" s="53" t="s">
        <v>335</v>
      </c>
      <c r="G92" s="54" t="n">
        <v>45672</v>
      </c>
      <c r="H92" s="39" t="n">
        <v>26.7642325642014</v>
      </c>
      <c r="I92" s="39" t="n">
        <v>0.426526544817678</v>
      </c>
      <c r="J92" s="39" t="n">
        <v>837.714527190135</v>
      </c>
      <c r="K92" s="39" t="n">
        <v>2.28911544823118</v>
      </c>
      <c r="L92" s="39" t="n">
        <v>123.015653384561</v>
      </c>
      <c r="M92" s="39" t="n">
        <v>0.257934499397864</v>
      </c>
    </row>
    <row r="93" customFormat="false" ht="15" hidden="false" customHeight="false" outlineLevel="0" collapsed="false">
      <c r="A93" s="39" t="s">
        <v>87</v>
      </c>
      <c r="B93" s="50" t="s">
        <v>88</v>
      </c>
      <c r="C93" s="51" t="s">
        <v>89</v>
      </c>
      <c r="D93" s="52" t="n">
        <v>1</v>
      </c>
      <c r="E93" s="50" t="n">
        <v>0.857</v>
      </c>
      <c r="F93" s="53" t="s">
        <v>335</v>
      </c>
      <c r="G93" s="54" t="n">
        <v>45681</v>
      </c>
      <c r="H93" s="39" t="n">
        <v>70.8351752152074</v>
      </c>
      <c r="I93" s="39" t="n">
        <v>0.167577239103888</v>
      </c>
      <c r="J93" s="39" t="n">
        <v>309.230028307458</v>
      </c>
      <c r="K93" s="39" t="n">
        <v>1.57581911158084</v>
      </c>
      <c r="L93" s="39" t="n">
        <v>59.027394166165</v>
      </c>
      <c r="M93" s="39" t="n">
        <v>0.101339416746533</v>
      </c>
    </row>
    <row r="94" customFormat="false" ht="15" hidden="false" customHeight="false" outlineLevel="0" collapsed="false">
      <c r="A94" s="39" t="s">
        <v>90</v>
      </c>
      <c r="B94" s="50" t="s">
        <v>91</v>
      </c>
      <c r="C94" s="51" t="s">
        <v>92</v>
      </c>
      <c r="D94" s="52" t="n">
        <v>1</v>
      </c>
      <c r="E94" s="50" t="n">
        <v>0.987</v>
      </c>
      <c r="F94" s="53" t="s">
        <v>335</v>
      </c>
      <c r="G94" s="54" t="n">
        <v>45642</v>
      </c>
      <c r="H94" s="39" t="n">
        <v>89.0204351616714</v>
      </c>
      <c r="I94" s="39" t="n">
        <v>0.220750407449765</v>
      </c>
      <c r="J94" s="39" t="n">
        <v>283.417784586882</v>
      </c>
      <c r="K94" s="39" t="n">
        <v>1.98704531982809</v>
      </c>
      <c r="L94" s="39" t="n">
        <v>77.5621621669303</v>
      </c>
      <c r="M94" s="39" t="n">
        <v>0.133494964215577</v>
      </c>
    </row>
    <row r="95" customFormat="false" ht="15" hidden="false" customHeight="false" outlineLevel="0" collapsed="false">
      <c r="A95" s="39" t="s">
        <v>98</v>
      </c>
      <c r="B95" s="50" t="s">
        <v>99</v>
      </c>
      <c r="C95" s="51" t="s">
        <v>100</v>
      </c>
      <c r="D95" s="52" t="n">
        <v>1</v>
      </c>
      <c r="E95" s="50" t="n">
        <v>1.295</v>
      </c>
      <c r="F95" s="53" t="s">
        <v>335</v>
      </c>
      <c r="G95" s="54" t="n">
        <v>45716</v>
      </c>
      <c r="H95" s="39" t="n">
        <v>26.8584384145595</v>
      </c>
      <c r="I95" s="39" t="n">
        <v>0.0976789490843883</v>
      </c>
      <c r="J95" s="39" t="n">
        <v>376.548459779768</v>
      </c>
      <c r="K95" s="39" t="n">
        <v>1.08194978630736</v>
      </c>
      <c r="L95" s="39" t="n">
        <v>20.5171067704229</v>
      </c>
      <c r="M95" s="39" t="n">
        <v>0.0590696432377048</v>
      </c>
    </row>
    <row r="96" customFormat="false" ht="15" hidden="false" customHeight="false" outlineLevel="0" collapsed="false">
      <c r="A96" s="39" t="s">
        <v>102</v>
      </c>
      <c r="B96" s="50" t="s">
        <v>63</v>
      </c>
      <c r="C96" s="51" t="s">
        <v>103</v>
      </c>
      <c r="D96" s="52" t="n">
        <v>1</v>
      </c>
      <c r="E96" s="50" t="n">
        <v>1.342</v>
      </c>
      <c r="F96" s="53" t="s">
        <v>335</v>
      </c>
      <c r="G96" s="54" t="n">
        <v>45687</v>
      </c>
      <c r="H96" s="39" t="n">
        <v>37.4892944713869</v>
      </c>
      <c r="I96" s="39" t="n">
        <v>0.116069346049042</v>
      </c>
      <c r="J96" s="39" t="n">
        <v>500.354019245557</v>
      </c>
      <c r="K96" s="39" t="n">
        <v>1.34947447207417</v>
      </c>
      <c r="L96" s="39" t="n">
        <v>32.7710605854871</v>
      </c>
      <c r="M96" s="39" t="n">
        <v>0.0701909155065468</v>
      </c>
    </row>
    <row r="97" customFormat="false" ht="15" hidden="false" customHeight="false" outlineLevel="0" collapsed="false">
      <c r="A97" s="39" t="s">
        <v>105</v>
      </c>
      <c r="B97" s="50" t="s">
        <v>106</v>
      </c>
      <c r="C97" s="51" t="s">
        <v>107</v>
      </c>
      <c r="D97" s="52" t="n">
        <v>1</v>
      </c>
      <c r="E97" s="50" t="n">
        <v>1.454</v>
      </c>
      <c r="F97" s="53" t="s">
        <v>335</v>
      </c>
      <c r="G97" s="54" t="n">
        <v>45687</v>
      </c>
      <c r="H97" s="39" t="n">
        <v>53.5013923093518</v>
      </c>
      <c r="I97" s="39" t="n">
        <v>0.195080985653803</v>
      </c>
      <c r="J97" s="39" t="n">
        <v>591.589048901672</v>
      </c>
      <c r="K97" s="39" t="n">
        <v>1.69826375141353</v>
      </c>
      <c r="L97" s="39" t="n">
        <v>45.893277555253</v>
      </c>
      <c r="M97" s="39" t="n">
        <v>0.117971828454814</v>
      </c>
    </row>
    <row r="98" customFormat="false" ht="15" hidden="false" customHeight="false" outlineLevel="0" collapsed="false">
      <c r="A98" s="39" t="s">
        <v>109</v>
      </c>
      <c r="B98" s="50" t="s">
        <v>106</v>
      </c>
      <c r="C98" s="51" t="s">
        <v>110</v>
      </c>
      <c r="D98" s="52" t="n">
        <v>1</v>
      </c>
      <c r="E98" s="50" t="n">
        <v>1.307</v>
      </c>
      <c r="F98" s="53" t="s">
        <v>335</v>
      </c>
      <c r="G98" s="54" t="n">
        <v>45687</v>
      </c>
      <c r="H98" s="39" t="n">
        <v>47.1997561956723</v>
      </c>
      <c r="I98" s="39" t="n">
        <v>0.129010549710182</v>
      </c>
      <c r="J98" s="39" t="n">
        <v>574.220749544971</v>
      </c>
      <c r="K98" s="39" t="n">
        <v>1.28536323298016</v>
      </c>
      <c r="L98" s="39" t="n">
        <v>42.6775631782357</v>
      </c>
      <c r="M98" s="39" t="n">
        <v>0.0780168830307226</v>
      </c>
    </row>
    <row r="99" customFormat="false" ht="15" hidden="false" customHeight="false" outlineLevel="0" collapsed="false">
      <c r="A99" s="39" t="s">
        <v>112</v>
      </c>
      <c r="B99" s="50" t="s">
        <v>106</v>
      </c>
      <c r="C99" s="51" t="s">
        <v>113</v>
      </c>
      <c r="D99" s="52" t="n">
        <v>1</v>
      </c>
      <c r="E99" s="50" t="n">
        <v>1.507</v>
      </c>
      <c r="F99" s="53" t="s">
        <v>335</v>
      </c>
      <c r="G99" s="54" t="n">
        <v>45687</v>
      </c>
      <c r="H99" s="39" t="n">
        <v>49.5916216087458</v>
      </c>
      <c r="I99" s="39" t="n">
        <v>0.242839565121713</v>
      </c>
      <c r="J99" s="39" t="n">
        <v>692.224283664599</v>
      </c>
      <c r="K99" s="39" t="n">
        <v>1.86409653477098</v>
      </c>
      <c r="L99" s="39" t="n">
        <v>60.5725575224089</v>
      </c>
      <c r="M99" s="39" t="n">
        <v>0.146852997602854</v>
      </c>
    </row>
    <row r="100" customFormat="false" ht="15" hidden="false" customHeight="false" outlineLevel="0" collapsed="false">
      <c r="A100" s="39" t="s">
        <v>115</v>
      </c>
      <c r="B100" s="50" t="s">
        <v>63</v>
      </c>
      <c r="C100" s="51" t="s">
        <v>116</v>
      </c>
      <c r="D100" s="52" t="n">
        <v>1</v>
      </c>
      <c r="E100" s="50" t="n">
        <v>1.239</v>
      </c>
      <c r="F100" s="53" t="s">
        <v>335</v>
      </c>
      <c r="G100" s="54" t="n">
        <v>45687</v>
      </c>
      <c r="H100" s="39" t="n">
        <v>41.7203346943753</v>
      </c>
      <c r="I100" s="39" t="n">
        <v>0.146481525236201</v>
      </c>
      <c r="J100" s="39" t="n">
        <v>603.935857869365</v>
      </c>
      <c r="K100" s="39" t="n">
        <v>2.03453276559975</v>
      </c>
      <c r="L100" s="39" t="n">
        <v>37.6185303983496</v>
      </c>
      <c r="M100" s="39" t="n">
        <v>0.0885821511976129</v>
      </c>
    </row>
    <row r="101" customFormat="false" ht="15" hidden="false" customHeight="false" outlineLevel="0" collapsed="false">
      <c r="A101" s="39" t="s">
        <v>118</v>
      </c>
      <c r="B101" s="50" t="s">
        <v>63</v>
      </c>
      <c r="C101" s="51" t="s">
        <v>119</v>
      </c>
      <c r="D101" s="52" t="n">
        <v>1</v>
      </c>
      <c r="E101" s="50" t="n">
        <v>1.298</v>
      </c>
      <c r="F101" s="53" t="s">
        <v>335</v>
      </c>
      <c r="G101" s="54" t="n">
        <v>45687</v>
      </c>
      <c r="H101" s="39" t="n">
        <v>42.2058029668579</v>
      </c>
      <c r="I101" s="39" t="n">
        <v>0.126526109896898</v>
      </c>
      <c r="J101" s="39" t="n">
        <v>349.608221522687</v>
      </c>
      <c r="K101" s="39" t="n">
        <v>1.45608427068704</v>
      </c>
      <c r="L101" s="39" t="n">
        <v>38.7613565403137</v>
      </c>
      <c r="M101" s="39" t="n">
        <v>0.0765144613237748</v>
      </c>
    </row>
    <row r="102" customFormat="false" ht="15" hidden="false" customHeight="false" outlineLevel="0" collapsed="false">
      <c r="A102" s="39" t="s">
        <v>121</v>
      </c>
      <c r="B102" s="50" t="s">
        <v>63</v>
      </c>
      <c r="C102" s="51" t="s">
        <v>122</v>
      </c>
      <c r="D102" s="52" t="n">
        <v>1</v>
      </c>
      <c r="E102" s="55" t="n">
        <v>1.23</v>
      </c>
      <c r="F102" s="53" t="s">
        <v>335</v>
      </c>
      <c r="G102" s="54" t="n">
        <v>45687</v>
      </c>
      <c r="H102" s="39" t="n">
        <v>33.5231296907592</v>
      </c>
      <c r="I102" s="39" t="n">
        <v>0.0950288980867324</v>
      </c>
      <c r="J102" s="39" t="n">
        <v>307.76711366342</v>
      </c>
      <c r="K102" s="39" t="n">
        <v>1.0623664302943</v>
      </c>
      <c r="L102" s="39" t="n">
        <v>29.7169062431211</v>
      </c>
      <c r="M102" s="39" t="n">
        <v>0.0574670710513678</v>
      </c>
    </row>
    <row r="103" customFormat="false" ht="15" hidden="false" customHeight="false" outlineLevel="0" collapsed="false">
      <c r="A103" s="39" t="s">
        <v>124</v>
      </c>
      <c r="B103" s="50" t="s">
        <v>63</v>
      </c>
      <c r="C103" s="51" t="s">
        <v>125</v>
      </c>
      <c r="D103" s="52" t="n">
        <v>1</v>
      </c>
      <c r="E103" s="50" t="n">
        <v>1.304</v>
      </c>
      <c r="F103" s="53" t="s">
        <v>335</v>
      </c>
      <c r="G103" s="54" t="n">
        <v>45687</v>
      </c>
      <c r="H103" s="39" t="n">
        <v>41.5330355666711</v>
      </c>
      <c r="I103" s="39" t="n">
        <v>0.130068801375134</v>
      </c>
      <c r="J103" s="39" t="n">
        <v>626.401375995665</v>
      </c>
      <c r="K103" s="39" t="n">
        <v>1.50666464797025</v>
      </c>
      <c r="L103" s="39" t="n">
        <v>37.9422207397374</v>
      </c>
      <c r="M103" s="39" t="n">
        <v>0.0786568422941092</v>
      </c>
    </row>
    <row r="104" customFormat="false" ht="15" hidden="false" customHeight="false" outlineLevel="0" collapsed="false">
      <c r="A104" s="39" t="s">
        <v>127</v>
      </c>
      <c r="B104" s="50" t="s">
        <v>63</v>
      </c>
      <c r="C104" s="51" t="s">
        <v>128</v>
      </c>
      <c r="D104" s="52" t="n">
        <v>1</v>
      </c>
      <c r="E104" s="50" t="n">
        <v>1.313</v>
      </c>
      <c r="F104" s="53" t="s">
        <v>335</v>
      </c>
      <c r="G104" s="54" t="n">
        <v>45687</v>
      </c>
      <c r="H104" s="39" t="n">
        <v>36.1637369751759</v>
      </c>
      <c r="I104" s="39" t="n">
        <v>0.116400254135445</v>
      </c>
      <c r="J104" s="39" t="n">
        <v>487.826686980499</v>
      </c>
      <c r="K104" s="39" t="n">
        <v>1.38734105843669</v>
      </c>
      <c r="L104" s="39" t="n">
        <v>34.2048830619278</v>
      </c>
      <c r="M104" s="39" t="n">
        <v>0.0703910264085532</v>
      </c>
    </row>
    <row r="105" customFormat="false" ht="15" hidden="false" customHeight="false" outlineLevel="0" collapsed="false">
      <c r="A105" s="39" t="s">
        <v>130</v>
      </c>
      <c r="B105" s="50" t="s">
        <v>131</v>
      </c>
      <c r="C105" s="51" t="s">
        <v>132</v>
      </c>
      <c r="D105" s="52" t="n">
        <v>1</v>
      </c>
      <c r="E105" s="50" t="n">
        <v>1.719</v>
      </c>
      <c r="F105" s="53" t="s">
        <v>335</v>
      </c>
      <c r="G105" s="54" t="n">
        <v>45636</v>
      </c>
      <c r="H105" s="39" t="n">
        <v>14.8106723346361</v>
      </c>
      <c r="I105" s="39" t="n">
        <v>0.0927104825643212</v>
      </c>
      <c r="J105" s="39" t="n">
        <v>307.87409225268</v>
      </c>
      <c r="K105" s="39" t="n">
        <v>0.880907801884368</v>
      </c>
      <c r="L105" s="39" t="n">
        <v>14.3882431472663</v>
      </c>
      <c r="M105" s="39" t="n">
        <v>0.0560650496427707</v>
      </c>
    </row>
    <row r="106" customFormat="false" ht="15" hidden="false" customHeight="false" outlineLevel="0" collapsed="false">
      <c r="A106" s="39" t="s">
        <v>134</v>
      </c>
      <c r="B106" s="50" t="s">
        <v>135</v>
      </c>
      <c r="C106" s="51" t="s">
        <v>136</v>
      </c>
      <c r="D106" s="52" t="n">
        <v>1</v>
      </c>
      <c r="E106" s="50" t="n">
        <v>1.662</v>
      </c>
      <c r="F106" s="53" t="s">
        <v>335</v>
      </c>
      <c r="G106" s="54" t="n">
        <v>45642</v>
      </c>
      <c r="H106" s="39" t="n">
        <v>37.0162034617506</v>
      </c>
      <c r="I106" s="39" t="n">
        <v>0.247174600054732</v>
      </c>
      <c r="J106" s="39" t="n">
        <v>919.869854928498</v>
      </c>
      <c r="K106" s="39" t="n">
        <v>2.19265874077503</v>
      </c>
      <c r="L106" s="39" t="n">
        <v>48.1501253082016</v>
      </c>
      <c r="M106" s="39" t="n">
        <v>0.149474534477654</v>
      </c>
    </row>
    <row r="107" customFormat="false" ht="15" hidden="false" customHeight="false" outlineLevel="0" collapsed="false">
      <c r="A107" s="39" t="s">
        <v>138</v>
      </c>
      <c r="B107" s="50" t="s">
        <v>139</v>
      </c>
      <c r="C107" s="51" t="s">
        <v>140</v>
      </c>
      <c r="D107" s="52" t="n">
        <v>1</v>
      </c>
      <c r="E107" s="55" t="n">
        <v>1.47</v>
      </c>
      <c r="F107" s="53" t="s">
        <v>335</v>
      </c>
      <c r="G107" s="54" t="n">
        <v>45692</v>
      </c>
      <c r="H107" s="39" t="n">
        <v>27.4865895746383</v>
      </c>
      <c r="I107" s="39" t="n">
        <v>0.12918076776759</v>
      </c>
      <c r="J107" s="39" t="n">
        <v>601.749022069274</v>
      </c>
      <c r="K107" s="39" t="n">
        <v>1.18769778556762</v>
      </c>
      <c r="L107" s="39" t="n">
        <v>29.2122333532263</v>
      </c>
      <c r="M107" s="39" t="n">
        <v>0.078119819436345</v>
      </c>
    </row>
    <row r="108" customFormat="false" ht="15" hidden="false" customHeight="false" outlineLevel="0" collapsed="false">
      <c r="A108" s="39" t="s">
        <v>142</v>
      </c>
      <c r="B108" s="50" t="s">
        <v>88</v>
      </c>
      <c r="C108" s="51" t="s">
        <v>143</v>
      </c>
      <c r="D108" s="52" t="n">
        <v>1</v>
      </c>
      <c r="E108" s="55" t="n">
        <v>0.81</v>
      </c>
      <c r="F108" s="53" t="s">
        <v>335</v>
      </c>
      <c r="G108" s="54" t="n">
        <v>45709</v>
      </c>
      <c r="H108" s="39" t="n">
        <v>87.3825709582109</v>
      </c>
      <c r="I108" s="39" t="n">
        <v>0.225585671767069</v>
      </c>
      <c r="J108" s="39" t="n">
        <v>352.517849622758</v>
      </c>
      <c r="K108" s="39" t="n">
        <v>2.27415843834641</v>
      </c>
      <c r="L108" s="39" t="n">
        <v>65.9428318305271</v>
      </c>
      <c r="M108" s="39" t="n">
        <v>0.1364190060983</v>
      </c>
    </row>
    <row r="109" customFormat="false" ht="15" hidden="false" customHeight="false" outlineLevel="0" collapsed="false">
      <c r="A109" s="39" t="s">
        <v>145</v>
      </c>
      <c r="B109" s="50" t="s">
        <v>146</v>
      </c>
      <c r="C109" s="51" t="s">
        <v>147</v>
      </c>
      <c r="D109" s="52" t="n">
        <v>1</v>
      </c>
      <c r="E109" s="50" t="n">
        <v>1.832</v>
      </c>
      <c r="F109" s="53" t="s">
        <v>335</v>
      </c>
      <c r="G109" s="54" t="n">
        <v>45539</v>
      </c>
      <c r="H109" s="39" t="n">
        <v>102.24197024357</v>
      </c>
      <c r="I109" s="39" t="n">
        <v>0.538753443459518</v>
      </c>
      <c r="J109" s="39" t="n">
        <v>96.8208888629457</v>
      </c>
      <c r="K109" s="39" t="n">
        <v>1.61086177021267</v>
      </c>
      <c r="L109" s="39" t="n">
        <v>99.6428689396856</v>
      </c>
      <c r="M109" s="39" t="n">
        <v>0.32580176175672</v>
      </c>
    </row>
    <row r="110" customFormat="false" ht="15" hidden="false" customHeight="false" outlineLevel="0" collapsed="false">
      <c r="A110" s="39" t="s">
        <v>149</v>
      </c>
      <c r="B110" s="50" t="s">
        <v>99</v>
      </c>
      <c r="C110" s="51" t="s">
        <v>150</v>
      </c>
      <c r="D110" s="52" t="n">
        <v>1</v>
      </c>
      <c r="E110" s="50" t="n">
        <v>1.501</v>
      </c>
      <c r="F110" s="53" t="s">
        <v>335</v>
      </c>
      <c r="G110" s="54" t="n">
        <v>45729</v>
      </c>
      <c r="H110" s="39" t="n">
        <v>42.4690423387523</v>
      </c>
      <c r="I110" s="39" t="n">
        <v>0.215775550112368</v>
      </c>
      <c r="J110" s="39" t="n">
        <v>243.110973026603</v>
      </c>
      <c r="K110" s="39" t="n">
        <v>1.09932840534132</v>
      </c>
      <c r="L110" s="39" t="n">
        <v>65.9946058341938</v>
      </c>
      <c r="M110" s="39" t="n">
        <v>0.130486505885168</v>
      </c>
    </row>
    <row r="111" customFormat="false" ht="15" hidden="false" customHeight="false" outlineLevel="0" collapsed="false">
      <c r="A111" s="39" t="s">
        <v>152</v>
      </c>
      <c r="B111" s="50" t="s">
        <v>88</v>
      </c>
      <c r="C111" s="51" t="s">
        <v>153</v>
      </c>
      <c r="D111" s="52" t="n">
        <v>1</v>
      </c>
      <c r="E111" s="50" t="n">
        <v>0.996</v>
      </c>
      <c r="F111" s="53" t="s">
        <v>335</v>
      </c>
      <c r="G111" s="54" t="n">
        <v>45740</v>
      </c>
      <c r="H111" s="39" t="n">
        <v>59.7376443904606</v>
      </c>
      <c r="I111" s="39" t="n">
        <v>0.151682192296311</v>
      </c>
      <c r="J111" s="39" t="n">
        <v>266.231533241131</v>
      </c>
      <c r="K111" s="39" t="n">
        <v>1.67878954800935</v>
      </c>
      <c r="L111" s="39" t="n">
        <v>41.0920539213155</v>
      </c>
      <c r="M111" s="39" t="n">
        <v>0.0917271640250279</v>
      </c>
    </row>
    <row r="112" customFormat="false" ht="15" hidden="false" customHeight="false" outlineLevel="0" collapsed="false">
      <c r="A112" s="39" t="s">
        <v>155</v>
      </c>
      <c r="B112" s="50" t="s">
        <v>156</v>
      </c>
      <c r="C112" s="51" t="s">
        <v>157</v>
      </c>
      <c r="D112" s="52" t="n">
        <v>1</v>
      </c>
      <c r="E112" s="50" t="n">
        <v>1.496</v>
      </c>
      <c r="F112" s="53" t="s">
        <v>335</v>
      </c>
      <c r="G112" s="54" t="n">
        <v>45797</v>
      </c>
      <c r="H112" s="39" t="n">
        <v>25.738168129082</v>
      </c>
      <c r="I112" s="39" t="n">
        <v>0.125345781026038</v>
      </c>
      <c r="J112" s="39" t="n">
        <v>534.914303940686</v>
      </c>
      <c r="K112" s="39" t="n">
        <v>1.30796775434908</v>
      </c>
      <c r="L112" s="39" t="n">
        <v>25.7032737132116</v>
      </c>
      <c r="M112" s="39" t="n">
        <v>0.0758006779962676</v>
      </c>
    </row>
    <row r="113" customFormat="false" ht="15" hidden="false" customHeight="false" outlineLevel="0" collapsed="false">
      <c r="A113" s="39" t="s">
        <v>159</v>
      </c>
      <c r="B113" s="50" t="s">
        <v>160</v>
      </c>
      <c r="C113" s="51" t="s">
        <v>161</v>
      </c>
      <c r="D113" s="52" t="n">
        <v>1</v>
      </c>
      <c r="E113" s="50" t="n">
        <v>1.694</v>
      </c>
      <c r="F113" s="53" t="s">
        <v>335</v>
      </c>
      <c r="G113" s="54" t="n">
        <v>45808</v>
      </c>
      <c r="H113" s="39" t="n">
        <v>9.47740529758221</v>
      </c>
      <c r="I113" s="39" t="n">
        <v>0.0560561998635579</v>
      </c>
      <c r="J113" s="39" t="n">
        <v>212.934956878822</v>
      </c>
      <c r="K113" s="39" t="n">
        <v>0.455547436048086</v>
      </c>
      <c r="L113" s="39" t="n">
        <v>10.5920349729038</v>
      </c>
      <c r="M113" s="39" t="n">
        <v>0.033899010567171</v>
      </c>
    </row>
    <row r="114" customFormat="false" ht="15" hidden="false" customHeight="false" outlineLevel="0" collapsed="false">
      <c r="A114" s="39" t="s">
        <v>163</v>
      </c>
      <c r="B114" s="50" t="s">
        <v>164</v>
      </c>
      <c r="C114" s="51" t="s">
        <v>165</v>
      </c>
      <c r="D114" s="52" t="n">
        <v>1</v>
      </c>
      <c r="E114" s="50" t="n">
        <v>1.652</v>
      </c>
      <c r="F114" s="53" t="s">
        <v>335</v>
      </c>
      <c r="G114" s="54" t="n">
        <v>45793</v>
      </c>
      <c r="H114" s="39" t="n">
        <v>29.9713982850405</v>
      </c>
      <c r="I114" s="39" t="n">
        <v>0.158404740360325</v>
      </c>
      <c r="J114" s="39" t="n">
        <v>456.515398582548</v>
      </c>
      <c r="K114" s="39" t="n">
        <v>1.30679426528058</v>
      </c>
      <c r="L114" s="39" t="n">
        <v>23.4253703723508</v>
      </c>
      <c r="M114" s="39" t="n">
        <v>0.0957925078837806</v>
      </c>
    </row>
    <row r="115" customFormat="false" ht="15" hidden="false" customHeight="false" outlineLevel="0" collapsed="false">
      <c r="A115" s="39" t="s">
        <v>171</v>
      </c>
      <c r="B115" s="50" t="s">
        <v>172</v>
      </c>
      <c r="C115" s="51" t="s">
        <v>173</v>
      </c>
      <c r="D115" s="52" t="n">
        <v>1</v>
      </c>
      <c r="E115" s="50" t="n">
        <v>1.696</v>
      </c>
      <c r="F115" s="53" t="s">
        <v>335</v>
      </c>
      <c r="G115" s="54" t="n">
        <v>45793</v>
      </c>
      <c r="H115" s="39" t="n">
        <v>30.9106698683327</v>
      </c>
      <c r="I115" s="39" t="n">
        <v>0.171209691744883</v>
      </c>
      <c r="J115" s="39" t="n">
        <v>507.602334298093</v>
      </c>
      <c r="K115" s="39" t="n">
        <v>1.41842122810193</v>
      </c>
      <c r="L115" s="39" t="n">
        <v>25.3131663669412</v>
      </c>
      <c r="M115" s="39" t="n">
        <v>0.103536079216725</v>
      </c>
    </row>
    <row r="116" customFormat="false" ht="15" hidden="false" customHeight="false" outlineLevel="0" collapsed="false">
      <c r="A116" s="39" t="s">
        <v>175</v>
      </c>
      <c r="B116" s="50" t="s">
        <v>176</v>
      </c>
      <c r="C116" s="51" t="s">
        <v>177</v>
      </c>
      <c r="D116" s="52" t="n">
        <v>1</v>
      </c>
      <c r="E116" s="50" t="n">
        <v>1.669</v>
      </c>
      <c r="F116" s="53" t="s">
        <v>335</v>
      </c>
      <c r="G116" s="54" t="n">
        <v>45793</v>
      </c>
      <c r="H116" s="39" t="n">
        <v>28.6400660772223</v>
      </c>
      <c r="I116" s="39" t="n">
        <v>0.152292389416538</v>
      </c>
      <c r="J116" s="39" t="n">
        <v>421.043667938463</v>
      </c>
      <c r="K116" s="39" t="n">
        <v>1.06987238666917</v>
      </c>
      <c r="L116" s="39" t="n">
        <v>23.0365804537752</v>
      </c>
      <c r="M116" s="39" t="n">
        <v>0.092096170106014</v>
      </c>
    </row>
    <row r="117" customFormat="false" ht="15" hidden="false" customHeight="false" outlineLevel="0" collapsed="false">
      <c r="A117" s="39" t="s">
        <v>179</v>
      </c>
      <c r="B117" s="50" t="s">
        <v>180</v>
      </c>
      <c r="C117" s="51" t="s">
        <v>181</v>
      </c>
      <c r="D117" s="52" t="n">
        <v>1</v>
      </c>
      <c r="E117" s="50" t="n">
        <v>1.541</v>
      </c>
      <c r="F117" s="53" t="s">
        <v>335</v>
      </c>
      <c r="G117" s="54" t="n">
        <v>45826</v>
      </c>
      <c r="H117" s="39" t="n">
        <v>16.414749222476</v>
      </c>
      <c r="I117" s="39" t="n">
        <v>0.0882501642221611</v>
      </c>
      <c r="J117" s="39" t="n">
        <v>402.467850449411</v>
      </c>
      <c r="K117" s="39" t="n">
        <v>0.820529913735829</v>
      </c>
      <c r="L117" s="39" t="n">
        <v>15.679506543373</v>
      </c>
      <c r="M117" s="39" t="n">
        <v>0.0533677498082857</v>
      </c>
    </row>
    <row r="118" customFormat="false" ht="15" hidden="false" customHeight="false" outlineLevel="0" collapsed="false">
      <c r="A118" s="39" t="s">
        <v>183</v>
      </c>
      <c r="B118" s="50" t="s">
        <v>99</v>
      </c>
      <c r="C118" s="51" t="s">
        <v>184</v>
      </c>
      <c r="D118" s="52" t="n">
        <v>1</v>
      </c>
      <c r="E118" s="55" t="n">
        <v>1.43</v>
      </c>
      <c r="F118" s="53" t="s">
        <v>335</v>
      </c>
      <c r="G118" s="54" t="n">
        <v>45826</v>
      </c>
      <c r="H118" s="39" t="n">
        <v>20.0863555506755</v>
      </c>
      <c r="I118" s="39" t="n">
        <v>0.10212711385699</v>
      </c>
      <c r="J118" s="39" t="n">
        <v>414.59072334558</v>
      </c>
      <c r="K118" s="39" t="n">
        <v>1.0386606601149</v>
      </c>
      <c r="L118" s="39" t="n">
        <v>18.9764509211372</v>
      </c>
      <c r="M118" s="39" t="n">
        <v>0.0617595934126717</v>
      </c>
    </row>
    <row r="119" customFormat="false" ht="15" hidden="false" customHeight="false" outlineLevel="0" collapsed="false">
      <c r="A119" s="39" t="s">
        <v>186</v>
      </c>
      <c r="B119" s="50" t="s">
        <v>99</v>
      </c>
      <c r="C119" s="51" t="s">
        <v>185</v>
      </c>
      <c r="D119" s="52" t="n">
        <v>1</v>
      </c>
      <c r="E119" s="50" t="n">
        <v>1.555</v>
      </c>
      <c r="F119" s="53" t="s">
        <v>335</v>
      </c>
      <c r="G119" s="54" t="n">
        <v>45825</v>
      </c>
      <c r="H119" s="39" t="n">
        <v>23.8569543835441</v>
      </c>
      <c r="I119" s="39" t="n">
        <v>0.12745644965708</v>
      </c>
      <c r="J119" s="39" t="n">
        <v>393.888121840677</v>
      </c>
      <c r="K119" s="39" t="n">
        <v>1.01874614144476</v>
      </c>
      <c r="L119" s="39" t="n">
        <v>21.6071824709353</v>
      </c>
      <c r="M119" s="39" t="n">
        <v>0.0770770680905236</v>
      </c>
    </row>
    <row r="120" customFormat="false" ht="15" hidden="false" customHeight="false" outlineLevel="0" collapsed="false">
      <c r="A120" s="39" t="s">
        <v>188</v>
      </c>
      <c r="B120" s="50" t="s">
        <v>99</v>
      </c>
      <c r="C120" s="51" t="s">
        <v>178</v>
      </c>
      <c r="D120" s="52" t="n">
        <v>1</v>
      </c>
      <c r="E120" s="50" t="n">
        <v>1.545</v>
      </c>
      <c r="F120" s="53" t="s">
        <v>335</v>
      </c>
      <c r="G120" s="54" t="n">
        <v>45825</v>
      </c>
      <c r="H120" s="39" t="n">
        <v>11.8223922095302</v>
      </c>
      <c r="I120" s="39" t="n">
        <v>0.0855778228400869</v>
      </c>
      <c r="J120" s="39" t="n">
        <v>462.196871223842</v>
      </c>
      <c r="K120" s="39" t="n">
        <v>1.03578711690177</v>
      </c>
      <c r="L120" s="39" t="n">
        <v>12.524251720108</v>
      </c>
      <c r="M120" s="39" t="n">
        <v>0.0517516979001913</v>
      </c>
    </row>
    <row r="121" customFormat="false" ht="15" hidden="false" customHeight="false" outlineLevel="0" collapsed="false">
      <c r="A121" s="39" t="s">
        <v>189</v>
      </c>
      <c r="B121" s="50" t="s">
        <v>190</v>
      </c>
      <c r="C121" s="51" t="s">
        <v>174</v>
      </c>
      <c r="D121" s="52" t="n">
        <v>1</v>
      </c>
      <c r="E121" s="50" t="n">
        <v>1.445</v>
      </c>
      <c r="F121" s="53" t="s">
        <v>335</v>
      </c>
      <c r="G121" s="54" t="n">
        <v>45826</v>
      </c>
      <c r="H121" s="39" t="n">
        <v>26.2004447965878</v>
      </c>
      <c r="I121" s="39" t="n">
        <v>0.120394692620039</v>
      </c>
      <c r="J121" s="39" t="n">
        <v>380.081654823293</v>
      </c>
      <c r="K121" s="39" t="n">
        <v>1.03672183115729</v>
      </c>
      <c r="L121" s="39" t="n">
        <v>24.7911698577488</v>
      </c>
      <c r="M121" s="39" t="n">
        <v>0.0728065935131512</v>
      </c>
    </row>
    <row r="122" customFormat="false" ht="15" hidden="false" customHeight="false" outlineLevel="0" collapsed="false">
      <c r="A122" s="39" t="s">
        <v>195</v>
      </c>
      <c r="B122" s="50" t="s">
        <v>196</v>
      </c>
      <c r="C122" s="51" t="s">
        <v>170</v>
      </c>
      <c r="D122" s="52" t="n">
        <v>1</v>
      </c>
      <c r="E122" s="50" t="n">
        <v>1.899</v>
      </c>
      <c r="F122" s="53" t="s">
        <v>335</v>
      </c>
      <c r="G122" s="54" t="n">
        <v>45826</v>
      </c>
      <c r="H122" s="39" t="n">
        <v>56.8321786359863</v>
      </c>
      <c r="I122" s="39" t="n">
        <v>0.34076661919105</v>
      </c>
      <c r="J122" s="39" t="n">
        <v>924.274702845144</v>
      </c>
      <c r="K122" s="39" t="n">
        <v>2.19165558168921</v>
      </c>
      <c r="L122" s="39" t="n">
        <v>50.7473712296684</v>
      </c>
      <c r="M122" s="39" t="n">
        <v>0.206072678009097</v>
      </c>
    </row>
    <row r="123" customFormat="false" ht="15" hidden="false" customHeight="false" outlineLevel="0" collapsed="false">
      <c r="A123" s="39" t="s">
        <v>197</v>
      </c>
      <c r="B123" s="50" t="s">
        <v>198</v>
      </c>
      <c r="C123" s="51" t="s">
        <v>166</v>
      </c>
      <c r="D123" s="52" t="n">
        <v>1</v>
      </c>
      <c r="E123" s="50" t="n">
        <v>1.777</v>
      </c>
      <c r="F123" s="53" t="s">
        <v>335</v>
      </c>
      <c r="G123" s="54" t="n">
        <v>45826</v>
      </c>
      <c r="H123" s="39" t="n">
        <v>42.4406044217863</v>
      </c>
      <c r="I123" s="39" t="n">
        <v>0.298653089676087</v>
      </c>
      <c r="J123" s="39" t="n">
        <v>1010.21611962836</v>
      </c>
      <c r="K123" s="39" t="n">
        <v>2.3043710198438</v>
      </c>
      <c r="L123" s="39" t="n">
        <v>54.9199101459932</v>
      </c>
      <c r="M123" s="39" t="n">
        <v>0.180605254503339</v>
      </c>
    </row>
    <row r="124" customFormat="false" ht="15" hidden="false" customHeight="false" outlineLevel="0" collapsed="false">
      <c r="A124" s="39" t="s">
        <v>199</v>
      </c>
      <c r="B124" s="50" t="s">
        <v>200</v>
      </c>
      <c r="C124" s="51" t="s">
        <v>162</v>
      </c>
      <c r="D124" s="52" t="n">
        <v>1</v>
      </c>
      <c r="E124" s="50" t="n">
        <v>1.748</v>
      </c>
      <c r="F124" s="53" t="s">
        <v>335</v>
      </c>
      <c r="G124" s="54" t="n">
        <v>45826</v>
      </c>
      <c r="H124" s="39" t="n">
        <v>8.70478107994746</v>
      </c>
      <c r="I124" s="39" t="n">
        <v>0.094573920151164</v>
      </c>
      <c r="J124" s="39" t="n">
        <v>502.810967970113</v>
      </c>
      <c r="K124" s="39" t="n">
        <v>1.09036797239104</v>
      </c>
      <c r="L124" s="39" t="n">
        <v>10.4180503069495</v>
      </c>
      <c r="M124" s="39" t="n">
        <v>0.0571919310689359</v>
      </c>
    </row>
    <row r="125" customFormat="false" ht="15" hidden="false" customHeight="false" outlineLevel="0" collapsed="false">
      <c r="A125" s="39" t="s">
        <v>201</v>
      </c>
      <c r="B125" s="50" t="s">
        <v>202</v>
      </c>
      <c r="C125" s="51" t="s">
        <v>158</v>
      </c>
      <c r="D125" s="52" t="n">
        <v>1</v>
      </c>
      <c r="E125" s="50" t="n">
        <v>1.719</v>
      </c>
      <c r="F125" s="53" t="s">
        <v>335</v>
      </c>
      <c r="G125" s="54" t="n">
        <v>45831</v>
      </c>
      <c r="H125" s="39" t="n">
        <v>11.1267469058665</v>
      </c>
      <c r="I125" s="39" t="n">
        <v>0.11083747569462</v>
      </c>
      <c r="J125" s="39" t="n">
        <v>609.98714280456</v>
      </c>
      <c r="K125" s="39" t="n">
        <v>1.23311747025647</v>
      </c>
      <c r="L125" s="39" t="n">
        <v>16.7361937968841</v>
      </c>
      <c r="M125" s="39" t="n">
        <v>0.067027033030348</v>
      </c>
    </row>
    <row r="126" customFormat="false" ht="15" hidden="false" customHeight="false" outlineLevel="0" collapsed="false">
      <c r="A126" s="39" t="s">
        <v>203</v>
      </c>
      <c r="B126" s="50" t="s">
        <v>204</v>
      </c>
      <c r="C126" s="51" t="s">
        <v>154</v>
      </c>
      <c r="D126" s="52" t="n">
        <v>1</v>
      </c>
      <c r="E126" s="50" t="n">
        <v>1.866</v>
      </c>
      <c r="F126" s="53" t="s">
        <v>335</v>
      </c>
      <c r="G126" s="54" t="n">
        <v>45831</v>
      </c>
      <c r="H126" s="39" t="n">
        <v>51.3118083554939</v>
      </c>
      <c r="I126" s="39" t="n">
        <v>0.298671421897668</v>
      </c>
      <c r="J126" s="39" t="n">
        <v>665.727987127087</v>
      </c>
      <c r="K126" s="39" t="n">
        <v>1.79032688352946</v>
      </c>
      <c r="L126" s="39" t="n">
        <v>42.5524014295961</v>
      </c>
      <c r="M126" s="39" t="n">
        <v>0.180616340595059</v>
      </c>
    </row>
    <row r="127" customFormat="false" ht="15" hidden="false" customHeight="false" outlineLevel="0" collapsed="false">
      <c r="A127" s="39" t="s">
        <v>208</v>
      </c>
      <c r="B127" s="50" t="s">
        <v>200</v>
      </c>
      <c r="C127" s="51" t="s">
        <v>148</v>
      </c>
      <c r="D127" s="52" t="n">
        <v>1</v>
      </c>
      <c r="E127" s="50" t="n">
        <v>1.721</v>
      </c>
      <c r="F127" s="53" t="s">
        <v>335</v>
      </c>
      <c r="G127" s="54" t="n">
        <v>45831</v>
      </c>
      <c r="H127" s="39" t="n">
        <v>10.3528695377146</v>
      </c>
      <c r="I127" s="39" t="n">
        <v>0.0793831319402176</v>
      </c>
      <c r="J127" s="39" t="n">
        <v>319.933632065794</v>
      </c>
      <c r="K127" s="39" t="n">
        <v>0.809881476476072</v>
      </c>
      <c r="L127" s="39" t="n">
        <v>12.977757052344</v>
      </c>
      <c r="M127" s="39" t="n">
        <v>0.0480055664680543</v>
      </c>
    </row>
    <row r="128" customFormat="false" ht="15" hidden="false" customHeight="false" outlineLevel="0" collapsed="false">
      <c r="A128" s="39" t="s">
        <v>224</v>
      </c>
      <c r="B128" s="50" t="s">
        <v>225</v>
      </c>
      <c r="C128" s="51" t="s">
        <v>141</v>
      </c>
      <c r="D128" s="52" t="n">
        <v>1</v>
      </c>
      <c r="E128" s="50" t="n">
        <v>1.525</v>
      </c>
      <c r="F128" s="53" t="s">
        <v>335</v>
      </c>
      <c r="G128" s="54" t="n">
        <v>45835</v>
      </c>
      <c r="H128" s="39" t="n">
        <v>107.804844490114</v>
      </c>
      <c r="I128" s="39" t="n">
        <v>0.438059194054139</v>
      </c>
      <c r="J128" s="39" t="n">
        <v>1362.55807347272</v>
      </c>
      <c r="K128" s="39" t="n">
        <v>3.22935623859711</v>
      </c>
      <c r="L128" s="39" t="n">
        <v>99.8462115329579</v>
      </c>
      <c r="M128" s="39" t="n">
        <v>0.26490866816574</v>
      </c>
    </row>
    <row r="129" customFormat="false" ht="15" hidden="false" customHeight="false" outlineLevel="0" collapsed="false">
      <c r="A129" s="39" t="s">
        <v>241</v>
      </c>
      <c r="B129" s="50" t="s">
        <v>234</v>
      </c>
      <c r="C129" s="51" t="s">
        <v>133</v>
      </c>
      <c r="D129" s="52" t="n">
        <v>1</v>
      </c>
      <c r="E129" s="50" t="n">
        <v>1.748</v>
      </c>
      <c r="F129" s="53" t="s">
        <v>335</v>
      </c>
      <c r="G129" s="54" t="n">
        <v>45859</v>
      </c>
      <c r="H129" s="39" t="n">
        <v>108.599797046915</v>
      </c>
      <c r="I129" s="39" t="n">
        <v>0.763777415743948</v>
      </c>
      <c r="J129" s="39" t="n">
        <v>1373.94274276457</v>
      </c>
      <c r="K129" s="39" t="n">
        <v>3.42093592177905</v>
      </c>
      <c r="L129" s="39" t="n">
        <v>182.948010669373</v>
      </c>
      <c r="M129" s="39" t="n">
        <v>0.461881089875708</v>
      </c>
    </row>
    <row r="130" customFormat="false" ht="15" hidden="false" customHeight="false" outlineLevel="0" collapsed="false">
      <c r="A130" s="39" t="s">
        <v>242</v>
      </c>
      <c r="B130" s="50" t="s">
        <v>239</v>
      </c>
      <c r="C130" s="51" t="s">
        <v>129</v>
      </c>
      <c r="D130" s="52" t="n">
        <v>1</v>
      </c>
      <c r="E130" s="50" t="n">
        <v>1.742</v>
      </c>
      <c r="F130" s="53" t="s">
        <v>335</v>
      </c>
      <c r="G130" s="54" t="n">
        <v>45859</v>
      </c>
      <c r="H130" s="39" t="n">
        <v>29.8388304313254</v>
      </c>
      <c r="I130" s="39" t="n">
        <v>0.166615337490923</v>
      </c>
      <c r="J130" s="39" t="n">
        <v>544.473928845018</v>
      </c>
      <c r="K130" s="39" t="n">
        <v>1.43643831624244</v>
      </c>
      <c r="L130" s="39" t="n">
        <v>23.1392976868828</v>
      </c>
      <c r="M130" s="39" t="n">
        <v>0.100757723499009</v>
      </c>
    </row>
    <row r="131" customFormat="false" ht="15" hidden="false" customHeight="false" outlineLevel="0" collapsed="false">
      <c r="A131" s="39" t="s">
        <v>251</v>
      </c>
      <c r="B131" s="50" t="s">
        <v>234</v>
      </c>
      <c r="C131" s="51" t="s">
        <v>126</v>
      </c>
      <c r="D131" s="52" t="n">
        <v>1</v>
      </c>
      <c r="E131" s="50" t="n">
        <v>1.618</v>
      </c>
      <c r="F131" s="53" t="s">
        <v>335</v>
      </c>
      <c r="G131" s="54" t="n">
        <v>45875</v>
      </c>
      <c r="H131" s="39" t="n">
        <v>114.123845866207</v>
      </c>
      <c r="I131" s="39" t="n">
        <v>0.556230309902675</v>
      </c>
      <c r="J131" s="39" t="n">
        <v>1175.93627667981</v>
      </c>
      <c r="K131" s="39" t="n">
        <v>2.96866692339984</v>
      </c>
      <c r="L131" s="39" t="n">
        <v>118.807127698808</v>
      </c>
      <c r="M131" s="39" t="n">
        <v>0.336370592353151</v>
      </c>
    </row>
    <row r="132" customFormat="false" ht="15" hidden="false" customHeight="false" outlineLevel="0" collapsed="false">
      <c r="A132" s="39" t="s">
        <v>254</v>
      </c>
      <c r="B132" s="50" t="s">
        <v>88</v>
      </c>
      <c r="C132" s="51" t="s">
        <v>123</v>
      </c>
      <c r="D132" s="52" t="n">
        <v>1</v>
      </c>
      <c r="E132" s="50" t="n">
        <v>0.905</v>
      </c>
      <c r="F132" s="53" t="s">
        <v>335</v>
      </c>
      <c r="G132" s="54" t="n">
        <v>45876</v>
      </c>
      <c r="H132" s="39" t="n">
        <v>111.842994191049</v>
      </c>
      <c r="I132" s="39" t="n">
        <v>0.2283278435058</v>
      </c>
      <c r="J132" s="39" t="n">
        <v>232.816007138326</v>
      </c>
      <c r="K132" s="39" t="n">
        <v>2.04860605161536</v>
      </c>
      <c r="L132" s="39" t="n">
        <v>69.4500748489988</v>
      </c>
      <c r="M132" s="39" t="n">
        <v>0.138077286698385</v>
      </c>
    </row>
    <row r="133" customFormat="false" ht="15" hidden="false" customHeight="false" outlineLevel="0" collapsed="false">
      <c r="A133" s="39" t="s">
        <v>255</v>
      </c>
      <c r="B133" s="50" t="s">
        <v>88</v>
      </c>
      <c r="C133" s="51" t="s">
        <v>120</v>
      </c>
      <c r="D133" s="52" t="n">
        <v>1</v>
      </c>
      <c r="E133" s="50" t="n">
        <v>0.876</v>
      </c>
      <c r="F133" s="53" t="s">
        <v>335</v>
      </c>
      <c r="G133" s="54" t="n">
        <v>45876</v>
      </c>
      <c r="H133" s="39" t="n">
        <v>85.7559047694448</v>
      </c>
      <c r="I133" s="39" t="n">
        <v>0.187867641375967</v>
      </c>
      <c r="J133" s="39" t="n">
        <v>257.819647980426</v>
      </c>
      <c r="K133" s="39" t="n">
        <v>1.99550457919769</v>
      </c>
      <c r="L133" s="39" t="n">
        <v>58.6082574757288</v>
      </c>
      <c r="M133" s="39" t="n">
        <v>0.113609684133683</v>
      </c>
    </row>
    <row r="134" customFormat="false" ht="15" hidden="false" customHeight="false" outlineLevel="0" collapsed="false">
      <c r="A134" s="39" t="s">
        <v>256</v>
      </c>
      <c r="B134" s="50" t="s">
        <v>99</v>
      </c>
      <c r="C134" s="51" t="s">
        <v>117</v>
      </c>
      <c r="D134" s="52" t="n">
        <v>1</v>
      </c>
      <c r="E134" s="50" t="n">
        <v>1.355</v>
      </c>
      <c r="F134" s="53" t="s">
        <v>335</v>
      </c>
      <c r="G134" s="54" t="n">
        <v>45807</v>
      </c>
      <c r="H134" s="39" t="n">
        <v>42.2523768629176</v>
      </c>
      <c r="I134" s="39" t="n">
        <v>0.162331700053079</v>
      </c>
      <c r="J134" s="39" t="n">
        <v>462.826676016914</v>
      </c>
      <c r="K134" s="39" t="n">
        <v>1.49566104769783</v>
      </c>
      <c r="L134" s="39" t="n">
        <v>25.476636630681</v>
      </c>
      <c r="M134" s="39" t="n">
        <v>0.0981672683642541</v>
      </c>
    </row>
    <row r="135" customFormat="false" ht="15" hidden="false" customHeight="false" outlineLevel="0" collapsed="false">
      <c r="A135" s="39" t="s">
        <v>257</v>
      </c>
      <c r="B135" s="50" t="s">
        <v>99</v>
      </c>
      <c r="C135" s="51" t="s">
        <v>114</v>
      </c>
      <c r="D135" s="52" t="n">
        <v>1</v>
      </c>
      <c r="E135" s="50" t="n">
        <v>1.567</v>
      </c>
      <c r="F135" s="53" t="s">
        <v>335</v>
      </c>
      <c r="G135" s="54" t="n">
        <v>45807</v>
      </c>
      <c r="H135" s="39" t="n">
        <v>13.4764833042887</v>
      </c>
      <c r="I135" s="39" t="n">
        <v>0.0789916967837815</v>
      </c>
      <c r="J135" s="39" t="n">
        <v>268.557509566054</v>
      </c>
      <c r="K135" s="39" t="n">
        <v>0.8346161809865</v>
      </c>
      <c r="L135" s="39" t="n">
        <v>11.2793379010177</v>
      </c>
      <c r="M135" s="39" t="n">
        <v>0.0477688528746126</v>
      </c>
    </row>
    <row r="136" customFormat="false" ht="15" hidden="false" customHeight="false" outlineLevel="0" collapsed="false">
      <c r="A136" s="39" t="s">
        <v>258</v>
      </c>
      <c r="B136" s="50" t="s">
        <v>99</v>
      </c>
      <c r="C136" s="51" t="s">
        <v>111</v>
      </c>
      <c r="D136" s="52" t="n">
        <v>1</v>
      </c>
      <c r="E136" s="50" t="n">
        <v>1.574</v>
      </c>
      <c r="F136" s="53" t="s">
        <v>335</v>
      </c>
      <c r="G136" s="54" t="n">
        <v>45807</v>
      </c>
      <c r="H136" s="39" t="n">
        <v>7.97161037231752</v>
      </c>
      <c r="I136" s="39" t="n">
        <v>0.0554890089623457</v>
      </c>
      <c r="J136" s="39" t="n">
        <v>240.276726886943</v>
      </c>
      <c r="K136" s="39" t="n">
        <v>0.530057911492259</v>
      </c>
      <c r="L136" s="39" t="n">
        <v>8.28472038629717</v>
      </c>
      <c r="M136" s="39" t="n">
        <v>0.0335560117481181</v>
      </c>
    </row>
    <row r="137" customFormat="false" ht="15" hidden="false" customHeight="false" outlineLevel="0" collapsed="false">
      <c r="A137" s="39" t="s">
        <v>259</v>
      </c>
      <c r="B137" s="50" t="s">
        <v>99</v>
      </c>
      <c r="C137" s="51" t="s">
        <v>108</v>
      </c>
      <c r="D137" s="52" t="n">
        <v>1</v>
      </c>
      <c r="E137" s="50" t="n">
        <v>1.72</v>
      </c>
      <c r="F137" s="53" t="s">
        <v>335</v>
      </c>
      <c r="G137" s="54" t="n">
        <v>45666</v>
      </c>
      <c r="H137" s="39" t="n">
        <v>16.9314314156429</v>
      </c>
      <c r="I137" s="39" t="n">
        <v>0.102329961244464</v>
      </c>
      <c r="J137" s="39" t="n">
        <v>398.49590397099</v>
      </c>
      <c r="K137" s="39" t="n">
        <v>0.935381543182305</v>
      </c>
      <c r="L137" s="39" t="n">
        <v>11.6204981548714</v>
      </c>
      <c r="M137" s="39" t="n">
        <v>0.0618822618373636</v>
      </c>
    </row>
    <row r="138" customFormat="false" ht="15" hidden="false" customHeight="false" outlineLevel="0" collapsed="false">
      <c r="A138" s="39" t="s">
        <v>260</v>
      </c>
      <c r="B138" s="50" t="s">
        <v>261</v>
      </c>
      <c r="C138" s="51" t="s">
        <v>104</v>
      </c>
      <c r="D138" s="52" t="n">
        <v>1</v>
      </c>
      <c r="E138" s="50" t="n">
        <v>1.675</v>
      </c>
      <c r="F138" s="53" t="s">
        <v>335</v>
      </c>
      <c r="G138" s="54" t="n">
        <v>45895</v>
      </c>
      <c r="H138" s="39" t="n">
        <v>122.689485742509</v>
      </c>
      <c r="I138" s="39" t="n">
        <v>0.769815392430906</v>
      </c>
      <c r="J138" s="39" t="n">
        <v>1271.13435824275</v>
      </c>
      <c r="K138" s="39" t="n">
        <v>3.3797923109964</v>
      </c>
      <c r="L138" s="39" t="n">
        <v>192.13474864276</v>
      </c>
      <c r="M138" s="39" t="n">
        <v>0.465532451116994</v>
      </c>
    </row>
    <row r="139" customFormat="false" ht="15" hidden="false" customHeight="false" outlineLevel="0" collapsed="false">
      <c r="A139" s="39" t="s">
        <v>266</v>
      </c>
      <c r="B139" s="50" t="s">
        <v>200</v>
      </c>
      <c r="C139" s="51" t="s">
        <v>97</v>
      </c>
      <c r="D139" s="52" t="n">
        <v>1</v>
      </c>
      <c r="E139" s="50" t="n">
        <v>1.811</v>
      </c>
      <c r="F139" s="53" t="s">
        <v>335</v>
      </c>
      <c r="G139" s="54" t="n">
        <v>45897</v>
      </c>
      <c r="H139" s="39" t="n">
        <v>20.1815366200584</v>
      </c>
      <c r="I139" s="39" t="n">
        <v>0.138971116984888</v>
      </c>
      <c r="J139" s="39" t="n">
        <v>562.853604895769</v>
      </c>
      <c r="K139" s="39" t="n">
        <v>1.41092423741081</v>
      </c>
      <c r="L139" s="39" t="n">
        <v>14.2422121020092</v>
      </c>
      <c r="M139" s="39" t="n">
        <v>0.0840403626123235</v>
      </c>
    </row>
    <row r="140" customFormat="false" ht="15" hidden="false" customHeight="false" outlineLevel="0" collapsed="false">
      <c r="A140" s="39" t="s">
        <v>267</v>
      </c>
      <c r="B140" s="50" t="s">
        <v>268</v>
      </c>
      <c r="C140" s="51" t="s">
        <v>93</v>
      </c>
      <c r="D140" s="52" t="n">
        <v>1</v>
      </c>
      <c r="E140" s="50" t="n">
        <v>1.672</v>
      </c>
      <c r="F140" s="53" t="s">
        <v>335</v>
      </c>
      <c r="G140" s="54" t="n">
        <v>45897</v>
      </c>
      <c r="H140" s="39" t="n">
        <v>13.4249652136753</v>
      </c>
      <c r="I140" s="39" t="n">
        <v>0.100130413559147</v>
      </c>
      <c r="J140" s="39" t="n">
        <v>326.674360971352</v>
      </c>
      <c r="K140" s="39" t="n">
        <v>0.809692503471356</v>
      </c>
      <c r="L140" s="39" t="n">
        <v>17.5246902299394</v>
      </c>
      <c r="M140" s="39" t="n">
        <v>0.0605521236829928</v>
      </c>
    </row>
    <row r="141" customFormat="false" ht="15" hidden="false" customHeight="false" outlineLevel="0" collapsed="false">
      <c r="A141" s="39" t="s">
        <v>276</v>
      </c>
      <c r="B141" s="50" t="s">
        <v>99</v>
      </c>
      <c r="C141" s="51" t="s">
        <v>80</v>
      </c>
      <c r="D141" s="52" t="n">
        <v>1</v>
      </c>
      <c r="E141" s="50" t="n">
        <v>1.611</v>
      </c>
      <c r="F141" s="53" t="s">
        <v>335</v>
      </c>
      <c r="G141" s="54" t="n">
        <v>45862</v>
      </c>
      <c r="H141" s="39" t="n">
        <v>31.9546480245166</v>
      </c>
      <c r="I141" s="39" t="n">
        <v>0.185763047810402</v>
      </c>
      <c r="J141" s="39" t="n">
        <v>568.195628988762</v>
      </c>
      <c r="K141" s="39" t="n">
        <v>1.56024102295312</v>
      </c>
      <c r="L141" s="39" t="n">
        <v>34.3147285787749</v>
      </c>
      <c r="M141" s="39" t="n">
        <v>0.112336967829467</v>
      </c>
    </row>
    <row r="142" customFormat="false" ht="15" hidden="false" customHeight="false" outlineLevel="0" collapsed="false">
      <c r="A142" s="39" t="s">
        <v>277</v>
      </c>
      <c r="B142" s="50" t="s">
        <v>17</v>
      </c>
      <c r="C142" s="51" t="s">
        <v>76</v>
      </c>
      <c r="D142" s="52" t="n">
        <v>1</v>
      </c>
      <c r="E142" s="50" t="n">
        <v>1.2</v>
      </c>
      <c r="F142" s="53" t="s">
        <v>335</v>
      </c>
      <c r="G142" s="54" t="n">
        <v>45951</v>
      </c>
      <c r="H142" s="39" t="n">
        <v>62.7945945417369</v>
      </c>
      <c r="I142" s="39" t="n">
        <v>0.144014681434605</v>
      </c>
      <c r="J142" s="39" t="n">
        <v>155.53983710585</v>
      </c>
      <c r="K142" s="39" t="n">
        <v>1.1343467814239</v>
      </c>
      <c r="L142" s="39" t="n">
        <v>61.2472018999575</v>
      </c>
      <c r="M142" s="39" t="n">
        <v>0.0870903703722736</v>
      </c>
    </row>
    <row r="143" customFormat="false" ht="15" hidden="false" customHeight="false" outlineLevel="0" collapsed="false">
      <c r="A143" s="39" t="s">
        <v>280</v>
      </c>
      <c r="B143" s="50" t="s">
        <v>25</v>
      </c>
      <c r="C143" s="51" t="s">
        <v>72</v>
      </c>
      <c r="D143" s="52" t="n">
        <v>1</v>
      </c>
      <c r="E143" s="50" t="n">
        <v>1.217</v>
      </c>
      <c r="F143" s="53" t="s">
        <v>335</v>
      </c>
      <c r="G143" s="54" t="n">
        <v>45946</v>
      </c>
      <c r="H143" s="39" t="n">
        <v>55.5647225878101</v>
      </c>
      <c r="I143" s="39" t="n">
        <v>0.135890984857965</v>
      </c>
      <c r="J143" s="39" t="n">
        <v>141.397857244412</v>
      </c>
      <c r="K143" s="39" t="n">
        <v>1.05884178640825</v>
      </c>
      <c r="L143" s="39" t="n">
        <v>51.9792246437667</v>
      </c>
      <c r="M143" s="39" t="n">
        <v>0.0821777063535509</v>
      </c>
    </row>
    <row r="144" customFormat="false" ht="15" hidden="false" customHeight="false" outlineLevel="0" collapsed="false">
      <c r="A144" s="39" t="s">
        <v>283</v>
      </c>
      <c r="B144" s="50" t="s">
        <v>88</v>
      </c>
      <c r="C144" s="51" t="s">
        <v>68</v>
      </c>
      <c r="D144" s="52" t="n">
        <v>1</v>
      </c>
      <c r="E144" s="50" t="n">
        <v>0.922</v>
      </c>
      <c r="F144" s="53" t="s">
        <v>335</v>
      </c>
      <c r="G144" s="54" t="n">
        <v>45922</v>
      </c>
      <c r="H144" s="39" t="n">
        <v>119.152367214598</v>
      </c>
      <c r="I144" s="39" t="n">
        <v>0.22935659410124</v>
      </c>
      <c r="J144" s="39" t="n">
        <v>435.362979662924</v>
      </c>
      <c r="K144" s="39" t="n">
        <v>2.24024540006683</v>
      </c>
      <c r="L144" s="39" t="n">
        <v>71.273807506835</v>
      </c>
      <c r="M144" s="39" t="n">
        <v>0.138699405703789</v>
      </c>
    </row>
    <row r="145" customFormat="false" ht="15" hidden="false" customHeight="false" outlineLevel="0" collapsed="false">
      <c r="A145" s="39" t="s">
        <v>284</v>
      </c>
      <c r="B145" s="50" t="s">
        <v>99</v>
      </c>
      <c r="C145" s="51" t="s">
        <v>61</v>
      </c>
      <c r="D145" s="52" t="n">
        <v>1</v>
      </c>
      <c r="E145" s="50" t="n">
        <v>1.547</v>
      </c>
      <c r="F145" s="53" t="s">
        <v>335</v>
      </c>
      <c r="G145" s="54" t="n">
        <v>45923</v>
      </c>
      <c r="H145" s="39" t="n">
        <v>16.4948105833031</v>
      </c>
      <c r="I145" s="39" t="n">
        <v>0.100570086731473</v>
      </c>
      <c r="J145" s="39" t="n">
        <v>363.338890885775</v>
      </c>
      <c r="K145" s="39" t="n">
        <v>0.882288132247568</v>
      </c>
      <c r="L145" s="39" t="n">
        <v>17.5613079362905</v>
      </c>
      <c r="M145" s="39" t="n">
        <v>0.0608180083764089</v>
      </c>
    </row>
    <row r="146" customFormat="false" ht="15" hidden="false" customHeight="false" outlineLevel="0" collapsed="false">
      <c r="A146" s="39" t="s">
        <v>295</v>
      </c>
      <c r="B146" s="50" t="s">
        <v>296</v>
      </c>
      <c r="C146" s="51" t="s">
        <v>59</v>
      </c>
      <c r="D146" s="52" t="n">
        <v>1</v>
      </c>
      <c r="E146" s="50" t="n">
        <v>0.992</v>
      </c>
      <c r="F146" s="53" t="s">
        <v>335</v>
      </c>
      <c r="G146" s="54" t="n">
        <v>45972</v>
      </c>
      <c r="H146" s="39" t="n">
        <v>131.021274399956</v>
      </c>
      <c r="I146" s="39" t="n">
        <v>0.293595773618168</v>
      </c>
      <c r="J146" s="39" t="n">
        <v>384.588770662389</v>
      </c>
      <c r="K146" s="39" t="n">
        <v>2.49436003639134</v>
      </c>
      <c r="L146" s="39" t="n">
        <v>105.657372101381</v>
      </c>
      <c r="M146" s="39" t="n">
        <v>0.153390896687242</v>
      </c>
    </row>
    <row r="147" customFormat="false" ht="15" hidden="false" customHeight="false" outlineLevel="0" collapsed="false">
      <c r="A147" s="39" t="s">
        <v>297</v>
      </c>
      <c r="B147" s="50" t="s">
        <v>21</v>
      </c>
      <c r="C147" s="51" t="s">
        <v>57</v>
      </c>
      <c r="D147" s="52" t="n">
        <v>1</v>
      </c>
      <c r="E147" s="50" t="n">
        <v>1.164</v>
      </c>
      <c r="F147" s="53" t="s">
        <v>335</v>
      </c>
      <c r="G147" s="54" t="n">
        <v>45972</v>
      </c>
      <c r="H147" s="39" t="n">
        <v>125.315795277286</v>
      </c>
      <c r="I147" s="39" t="n">
        <v>0.311363797097678</v>
      </c>
      <c r="J147" s="39" t="n">
        <v>361.674128991911</v>
      </c>
      <c r="K147" s="39" t="n">
        <v>2.27680690386522</v>
      </c>
      <c r="L147" s="39" t="n">
        <v>97.6929603309168</v>
      </c>
      <c r="M147" s="39" t="n">
        <v>0.162673908565425</v>
      </c>
    </row>
    <row r="148" customFormat="false" ht="15" hidden="false" customHeight="false" outlineLevel="0" collapsed="false">
      <c r="A148" s="39" t="s">
        <v>298</v>
      </c>
      <c r="B148" s="50" t="s">
        <v>299</v>
      </c>
      <c r="C148" s="51" t="s">
        <v>50</v>
      </c>
      <c r="D148" s="52" t="n">
        <v>1</v>
      </c>
      <c r="E148" s="50" t="n">
        <v>0.948</v>
      </c>
      <c r="F148" s="53" t="s">
        <v>335</v>
      </c>
      <c r="G148" s="54" t="n">
        <v>45975</v>
      </c>
      <c r="H148" s="39" t="n">
        <v>117.807405111691</v>
      </c>
      <c r="I148" s="39" t="n">
        <v>0.235820812634498</v>
      </c>
      <c r="J148" s="39" t="n">
        <v>192.951932567683</v>
      </c>
      <c r="K148" s="39" t="n">
        <v>2.0972608707248</v>
      </c>
      <c r="L148" s="39" t="n">
        <v>87.5844120617235</v>
      </c>
      <c r="M148" s="39" t="n">
        <v>0.123206017108965</v>
      </c>
    </row>
    <row r="149" customFormat="false" ht="15" hidden="false" customHeight="false" outlineLevel="0" collapsed="false">
      <c r="A149" s="39" t="s">
        <v>307</v>
      </c>
      <c r="B149" s="50" t="s">
        <v>88</v>
      </c>
      <c r="C149" s="51" t="s">
        <v>47</v>
      </c>
      <c r="D149" s="52" t="n">
        <v>1</v>
      </c>
      <c r="E149" s="50" t="n">
        <v>0.765</v>
      </c>
      <c r="F149" s="53" t="s">
        <v>335</v>
      </c>
      <c r="G149" s="54" t="n">
        <v>45960</v>
      </c>
      <c r="H149" s="39" t="n">
        <v>177.034224519378</v>
      </c>
      <c r="I149" s="39" t="n">
        <v>0.386049845747122</v>
      </c>
      <c r="J149" s="39" t="n">
        <v>534.175417992002</v>
      </c>
      <c r="K149" s="39" t="n">
        <v>3.0558443499856</v>
      </c>
      <c r="L149" s="39" t="n">
        <v>103.548651868229</v>
      </c>
      <c r="M149" s="39" t="n">
        <v>0.201694088696711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2025-12-05T09:27:46Z</dcterms:created>
  <dc:creator>Ing. Michal Sloboda</dc:creator>
  <dc:description/>
  <dc:language>cs-CZ</dc:language>
  <cp:lastModifiedBy/>
  <dcterms:modified xsi:type="dcterms:W3CDTF">2026-01-05T13:18:50Z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