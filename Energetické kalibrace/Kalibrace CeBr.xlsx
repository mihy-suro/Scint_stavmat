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H15" i="1" l="1"/>
  <c r="I15" i="1" s="1"/>
  <c r="B14" i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14" i="1" l="1"/>
  <c r="I14" i="1" s="1"/>
</calcChain>
</file>

<file path=xl/sharedStrings.xml><?xml version="1.0" encoding="utf-8"?>
<sst xmlns="http://schemas.openxmlformats.org/spreadsheetml/2006/main" count="25" uniqueCount="20">
  <si>
    <t>Lineární kalibrace</t>
  </si>
  <si>
    <t>Energie</t>
  </si>
  <si>
    <t>FWHM</t>
  </si>
  <si>
    <t>FWHM %</t>
  </si>
  <si>
    <t>Zdroj</t>
  </si>
  <si>
    <t>RPT</t>
  </si>
  <si>
    <t>Predikce</t>
  </si>
  <si>
    <t>Rozdíl</t>
  </si>
  <si>
    <t>Abs</t>
  </si>
  <si>
    <t>Eu-152</t>
  </si>
  <si>
    <t>Pb-214</t>
  </si>
  <si>
    <t>Na-22</t>
  </si>
  <si>
    <t>208-Tl</t>
  </si>
  <si>
    <t>Bi-214</t>
  </si>
  <si>
    <t>Cs-137</t>
  </si>
  <si>
    <t>Co-60</t>
  </si>
  <si>
    <t>CO-60 (SUM)</t>
  </si>
  <si>
    <t>slope</t>
  </si>
  <si>
    <t>intercept</t>
  </si>
  <si>
    <t>Kanál 13/12/24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</si>
</sst>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9" applyNumberFormat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9" xfId="1"/>
  </cellXfs>
  <cellStyles count="2">
    <cellStyle name="Normální" xfId="0" builtinId="0"/>
    <cellStyle name="Výstup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Energetická kalibrace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3384076990376204E-2"/>
                  <c:y val="-1.35520559930008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List1!$A$3:$A$15</c:f>
              <c:numCache>
                <c:formatCode>General</c:formatCode>
                <c:ptCount val="13"/>
                <c:pt idx="0">
                  <c:v>206.57</c:v>
                </c:pt>
                <c:pt idx="1">
                  <c:v>256.01</c:v>
                </c:pt>
                <c:pt idx="2">
                  <c:v>360.5</c:v>
                </c:pt>
                <c:pt idx="3">
                  <c:v>414</c:v>
                </c:pt>
                <c:pt idx="4">
                  <c:v>431.45</c:v>
                </c:pt>
                <c:pt idx="5">
                  <c:v>480.61</c:v>
                </c:pt>
                <c:pt idx="6">
                  <c:v>841.14</c:v>
                </c:pt>
                <c:pt idx="7">
                  <c:v>912.91</c:v>
                </c:pt>
                <c:pt idx="8">
                  <c:v>957.6</c:v>
                </c:pt>
                <c:pt idx="9">
                  <c:v>1013</c:v>
                </c:pt>
                <c:pt idx="10">
                  <c:v>1268.1199999999999</c:v>
                </c:pt>
                <c:pt idx="11">
                  <c:v>1812.77</c:v>
                </c:pt>
                <c:pt idx="12">
                  <c:v>1891.24</c:v>
                </c:pt>
              </c:numCache>
            </c:numRef>
          </c:xVal>
          <c:yVal>
            <c:numRef>
              <c:f>List1!$B$3:$B$15</c:f>
              <c:numCache>
                <c:formatCode>General</c:formatCode>
                <c:ptCount val="13"/>
                <c:pt idx="0">
                  <c:v>295.22399999999999</c:v>
                </c:pt>
                <c:pt idx="1">
                  <c:v>351.93200000000002</c:v>
                </c:pt>
                <c:pt idx="2">
                  <c:v>511</c:v>
                </c:pt>
                <c:pt idx="3">
                  <c:v>583.18700000000001</c:v>
                </c:pt>
                <c:pt idx="4">
                  <c:v>609.31200000000001</c:v>
                </c:pt>
                <c:pt idx="5">
                  <c:v>661.65530000000001</c:v>
                </c:pt>
                <c:pt idx="6">
                  <c:v>1173.2280000000001</c:v>
                </c:pt>
                <c:pt idx="7">
                  <c:v>1274.537</c:v>
                </c:pt>
                <c:pt idx="8">
                  <c:v>1332.492</c:v>
                </c:pt>
                <c:pt idx="9">
                  <c:v>1408.0129999999999</c:v>
                </c:pt>
                <c:pt idx="10">
                  <c:v>1764.4939999999999</c:v>
                </c:pt>
                <c:pt idx="11">
                  <c:v>2505.7200000000003</c:v>
                </c:pt>
                <c:pt idx="12">
                  <c:v>2614.511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9-4032-B0A0-886E76A6D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812447"/>
        <c:axId val="645811615"/>
      </c:scatterChart>
      <c:valAx>
        <c:axId val="64581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45811615"/>
        <c:crosses val="autoZero"/>
        <c:crossBetween val="midCat"/>
      </c:valAx>
      <c:valAx>
        <c:axId val="64581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4581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Rozdíl predikce</a:t>
            </a:r>
            <a:r>
              <a:rPr lang="cs-CZ" baseline="0"/>
              <a:t> - skutečná</a:t>
            </a:r>
            <a:endParaRPr lang="cs-CZ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List1!$B$3:$B$15</c:f>
              <c:numCache>
                <c:formatCode>General</c:formatCode>
                <c:ptCount val="13"/>
                <c:pt idx="0">
                  <c:v>295.22399999999999</c:v>
                </c:pt>
                <c:pt idx="1">
                  <c:v>351.93200000000002</c:v>
                </c:pt>
                <c:pt idx="2">
                  <c:v>511</c:v>
                </c:pt>
                <c:pt idx="3">
                  <c:v>583.18700000000001</c:v>
                </c:pt>
                <c:pt idx="4">
                  <c:v>609.31200000000001</c:v>
                </c:pt>
                <c:pt idx="5">
                  <c:v>661.65530000000001</c:v>
                </c:pt>
                <c:pt idx="6">
                  <c:v>1173.2280000000001</c:v>
                </c:pt>
                <c:pt idx="7">
                  <c:v>1274.537</c:v>
                </c:pt>
                <c:pt idx="8">
                  <c:v>1332.492</c:v>
                </c:pt>
                <c:pt idx="9">
                  <c:v>1408.0129999999999</c:v>
                </c:pt>
                <c:pt idx="10">
                  <c:v>1764.4939999999999</c:v>
                </c:pt>
                <c:pt idx="11">
                  <c:v>2505.7200000000003</c:v>
                </c:pt>
                <c:pt idx="12">
                  <c:v>2614.511</c:v>
                </c:pt>
              </c:numCache>
            </c:numRef>
          </c:xVal>
          <c:yVal>
            <c:numRef>
              <c:f>List1!$H$3:$H$15</c:f>
              <c:numCache>
                <c:formatCode>General</c:formatCode>
                <c:ptCount val="13"/>
                <c:pt idx="0">
                  <c:v>0.74097000000000435</c:v>
                </c:pt>
                <c:pt idx="1">
                  <c:v>-10.728789999999947</c:v>
                </c:pt>
                <c:pt idx="2">
                  <c:v>4.2475000000000023</c:v>
                </c:pt>
                <c:pt idx="3">
                  <c:v>2.6580000000000155</c:v>
                </c:pt>
                <c:pt idx="4">
                  <c:v>4.719449999999938</c:v>
                </c:pt>
                <c:pt idx="5">
                  <c:v>-10.728890000000092</c:v>
                </c:pt>
                <c:pt idx="6">
                  <c:v>3.6729399999999259</c:v>
                </c:pt>
                <c:pt idx="7">
                  <c:v>6.0111099999999169</c:v>
                </c:pt>
                <c:pt idx="8">
                  <c:v>2.3385999999998148</c:v>
                </c:pt>
                <c:pt idx="9">
                  <c:v>1.4629999999999654</c:v>
                </c:pt>
                <c:pt idx="10">
                  <c:v>6.1335200000000896</c:v>
                </c:pt>
                <c:pt idx="11">
                  <c:v>-3.7128299999999399</c:v>
                </c:pt>
                <c:pt idx="12">
                  <c:v>-3.1319600000001628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9-4FC8-BA95-FCAB235B4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184911"/>
        <c:axId val="654191567"/>
      </c:scatterChart>
      <c:valAx>
        <c:axId val="65418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Skutečná</a:t>
                </a:r>
                <a:r>
                  <a:rPr lang="cs-CZ" baseline="0"/>
                  <a:t> energie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54191567"/>
        <c:crosses val="autoZero"/>
        <c:crossBetween val="midCat"/>
      </c:valAx>
      <c:valAx>
        <c:axId val="6541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Rozdíl [keV]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5418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16</xdr:row>
      <xdr:rowOff>138112</xdr:rowOff>
    </xdr:from>
    <xdr:to>
      <xdr:col>5</xdr:col>
      <xdr:colOff>661986</xdr:colOff>
      <xdr:row>31</xdr:row>
      <xdr:rowOff>166687</xdr:rowOff>
    </xdr:to>
    <xdr:graphicFrame macro="">
      <xdr:nvGraphicFramePr>
        <xdr:cNvPr id="7" name="Graf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59530</xdr:colOff>
      <xdr:row>16</xdr:row>
      <xdr:rowOff>104775</xdr:rowOff>
    </xdr:from>
    <xdr:to>
      <xdr:col>16</xdr:col>
      <xdr:colOff>290512</xdr:colOff>
      <xdr:row>31</xdr:row>
      <xdr:rowOff>133350</xdr:rowOff>
    </xdr:to>
    <xdr:graphicFrame macro="">
      <xdr:nvGraphicFramePr>
        <xdr:cNvPr id="2" name="Graf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L16" sqref="L16"/>
    </sheetView>
  </sheetViews>
  <sheetFormatPr defaultRowHeight="14.25" x14ac:dyDescent="0.45"/>
  <cols>
    <col min="1" max="1" width="15.1328125" customWidth="1"/>
    <col min="5" max="5" width="15.86328125" customWidth="1"/>
    <col min="6" max="6" width="12.73046875" customWidth="1"/>
  </cols>
  <sheetData>
    <row r="1" spans="1:12" x14ac:dyDescent="0.45">
      <c r="G1" s="16" t="s">
        <v>0</v>
      </c>
      <c r="H1" s="17"/>
      <c r="I1" s="18"/>
    </row>
    <row r="2" spans="1:12" x14ac:dyDescent="0.45">
      <c r="A2" s="1" t="s">
        <v>19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 t="s">
        <v>7</v>
      </c>
      <c r="I2" s="4" t="s">
        <v>8</v>
      </c>
    </row>
    <row r="3" spans="1:12" x14ac:dyDescent="0.45">
      <c r="A3" s="5">
        <v>206.57</v>
      </c>
      <c r="B3" s="5">
        <v>295.22399999999999</v>
      </c>
      <c r="C3" s="6"/>
      <c r="D3" s="6"/>
      <c r="E3" s="6" t="s">
        <v>10</v>
      </c>
      <c r="F3" s="11"/>
      <c r="G3" s="7">
        <f t="shared" ref="G3:G15" si="0">A3*$L$3+$L$4</f>
        <v>294.48302999999999</v>
      </c>
      <c r="H3" s="8">
        <f t="shared" ref="H3:H15" si="1">B3-G3</f>
        <v>0.74097000000000435</v>
      </c>
      <c r="I3" s="9">
        <f t="shared" ref="I3:I15" si="2">ABS(H3)</f>
        <v>0.74097000000000435</v>
      </c>
      <c r="K3" t="s">
        <v>17</v>
      </c>
      <c r="L3">
        <v>1.379</v>
      </c>
    </row>
    <row r="4" spans="1:12" x14ac:dyDescent="0.45">
      <c r="A4" s="5">
        <v>256.01</v>
      </c>
      <c r="B4" s="5">
        <v>351.93200000000002</v>
      </c>
      <c r="C4" s="6"/>
      <c r="D4" s="6"/>
      <c r="E4" s="6" t="s">
        <v>10</v>
      </c>
      <c r="F4" s="11"/>
      <c r="G4" s="7">
        <f t="shared" si="0"/>
        <v>362.66078999999996</v>
      </c>
      <c r="H4" s="8">
        <f t="shared" si="1"/>
        <v>-10.728789999999947</v>
      </c>
      <c r="I4" s="9">
        <f t="shared" si="2"/>
        <v>10.728789999999947</v>
      </c>
      <c r="K4" t="s">
        <v>18</v>
      </c>
      <c r="L4">
        <v>9.6229999999999993</v>
      </c>
    </row>
    <row r="5" spans="1:12" x14ac:dyDescent="0.45">
      <c r="A5" s="10">
        <v>360.5</v>
      </c>
      <c r="B5">
        <v>511</v>
      </c>
      <c r="E5" s="11" t="s">
        <v>11</v>
      </c>
      <c r="F5" s="11"/>
      <c r="G5" s="7">
        <f t="shared" si="0"/>
        <v>506.7525</v>
      </c>
      <c r="H5" s="8">
        <f t="shared" si="1"/>
        <v>4.2475000000000023</v>
      </c>
      <c r="I5" s="9">
        <f t="shared" si="2"/>
        <v>4.2475000000000023</v>
      </c>
    </row>
    <row r="6" spans="1:12" x14ac:dyDescent="0.45">
      <c r="A6" s="10">
        <v>414</v>
      </c>
      <c r="B6">
        <v>583.18700000000001</v>
      </c>
      <c r="E6" s="11" t="s">
        <v>12</v>
      </c>
      <c r="F6" s="11"/>
      <c r="G6" s="7">
        <f t="shared" si="0"/>
        <v>580.529</v>
      </c>
      <c r="H6" s="8">
        <f t="shared" si="1"/>
        <v>2.6580000000000155</v>
      </c>
      <c r="I6" s="9">
        <f t="shared" si="2"/>
        <v>2.6580000000000155</v>
      </c>
    </row>
    <row r="7" spans="1:12" x14ac:dyDescent="0.45">
      <c r="A7" s="10">
        <v>431.45</v>
      </c>
      <c r="B7">
        <v>609.31200000000001</v>
      </c>
      <c r="E7" s="11" t="s">
        <v>13</v>
      </c>
      <c r="F7" s="11"/>
      <c r="G7" s="7">
        <f t="shared" si="0"/>
        <v>604.59255000000007</v>
      </c>
      <c r="H7" s="8">
        <f t="shared" si="1"/>
        <v>4.719449999999938</v>
      </c>
      <c r="I7" s="9">
        <f t="shared" si="2"/>
        <v>4.719449999999938</v>
      </c>
    </row>
    <row r="8" spans="1:12" x14ac:dyDescent="0.45">
      <c r="A8" s="10">
        <v>480.61</v>
      </c>
      <c r="B8">
        <v>661.65530000000001</v>
      </c>
      <c r="E8" s="11" t="s">
        <v>14</v>
      </c>
      <c r="F8" s="11"/>
      <c r="G8" s="7">
        <f t="shared" si="0"/>
        <v>672.3841900000001</v>
      </c>
      <c r="H8" s="8">
        <f t="shared" si="1"/>
        <v>-10.728890000000092</v>
      </c>
      <c r="I8" s="9">
        <f t="shared" si="2"/>
        <v>10.728890000000092</v>
      </c>
    </row>
    <row r="9" spans="1:12" x14ac:dyDescent="0.45">
      <c r="A9" s="10">
        <v>841.14</v>
      </c>
      <c r="B9">
        <v>1173.2280000000001</v>
      </c>
      <c r="E9" s="11" t="s">
        <v>15</v>
      </c>
      <c r="F9" s="11"/>
      <c r="G9" s="7">
        <f t="shared" si="0"/>
        <v>1169.5550600000001</v>
      </c>
      <c r="H9" s="8">
        <f t="shared" si="1"/>
        <v>3.6729399999999259</v>
      </c>
      <c r="I9" s="9">
        <f t="shared" si="2"/>
        <v>3.6729399999999259</v>
      </c>
    </row>
    <row r="10" spans="1:12" x14ac:dyDescent="0.45">
      <c r="A10" s="10">
        <v>912.91</v>
      </c>
      <c r="B10">
        <v>1274.537</v>
      </c>
      <c r="E10" s="11" t="s">
        <v>11</v>
      </c>
      <c r="F10" s="11"/>
      <c r="G10" s="7">
        <f t="shared" si="0"/>
        <v>1268.5258900000001</v>
      </c>
      <c r="H10" s="8">
        <f t="shared" si="1"/>
        <v>6.0111099999999169</v>
      </c>
      <c r="I10" s="9">
        <f t="shared" si="2"/>
        <v>6.0111099999999169</v>
      </c>
    </row>
    <row r="11" spans="1:12" x14ac:dyDescent="0.45">
      <c r="A11" s="10">
        <v>957.6</v>
      </c>
      <c r="B11">
        <v>1332.492</v>
      </c>
      <c r="E11" s="11" t="s">
        <v>15</v>
      </c>
      <c r="F11" s="11"/>
      <c r="G11" s="7">
        <f t="shared" si="0"/>
        <v>1330.1534000000001</v>
      </c>
      <c r="H11" s="8">
        <f t="shared" si="1"/>
        <v>2.3385999999998148</v>
      </c>
      <c r="I11" s="9">
        <f t="shared" si="2"/>
        <v>2.3385999999998148</v>
      </c>
    </row>
    <row r="12" spans="1:12" x14ac:dyDescent="0.45">
      <c r="A12" s="10">
        <v>1013</v>
      </c>
      <c r="B12">
        <v>1408.0129999999999</v>
      </c>
      <c r="E12" s="6" t="s">
        <v>9</v>
      </c>
      <c r="F12" s="6"/>
      <c r="G12" s="7">
        <f t="shared" si="0"/>
        <v>1406.55</v>
      </c>
      <c r="H12" s="8">
        <f t="shared" si="1"/>
        <v>1.4629999999999654</v>
      </c>
      <c r="I12" s="9">
        <f t="shared" si="2"/>
        <v>1.4629999999999654</v>
      </c>
    </row>
    <row r="13" spans="1:12" x14ac:dyDescent="0.45">
      <c r="A13" s="10">
        <v>1268.1199999999999</v>
      </c>
      <c r="B13">
        <v>1764.4939999999999</v>
      </c>
      <c r="E13" s="11" t="s">
        <v>13</v>
      </c>
      <c r="F13" s="11"/>
      <c r="G13" s="7">
        <f t="shared" si="0"/>
        <v>1758.3604799999998</v>
      </c>
      <c r="H13" s="8">
        <f t="shared" si="1"/>
        <v>6.1335200000000896</v>
      </c>
      <c r="I13" s="9">
        <f t="shared" si="2"/>
        <v>6.1335200000000896</v>
      </c>
    </row>
    <row r="14" spans="1:12" x14ac:dyDescent="0.45">
      <c r="A14" s="10">
        <v>1812.77</v>
      </c>
      <c r="B14">
        <f>B9+B11</f>
        <v>2505.7200000000003</v>
      </c>
      <c r="E14" s="11" t="s">
        <v>16</v>
      </c>
      <c r="F14" s="11"/>
      <c r="G14" s="7">
        <f t="shared" si="0"/>
        <v>2509.4328300000002</v>
      </c>
      <c r="H14" s="8">
        <f t="shared" si="1"/>
        <v>-3.7128299999999399</v>
      </c>
      <c r="I14" s="9">
        <f t="shared" si="2"/>
        <v>3.7128299999999399</v>
      </c>
    </row>
    <row r="15" spans="1:12" ht="14.65" thickBot="1" x14ac:dyDescent="0.5">
      <c r="A15" s="10">
        <v>1891.24</v>
      </c>
      <c r="B15">
        <v>2614.511</v>
      </c>
      <c r="E15" s="11" t="s">
        <v>12</v>
      </c>
      <c r="F15" s="11"/>
      <c r="G15" s="12">
        <f t="shared" si="0"/>
        <v>2617.6429600000001</v>
      </c>
      <c r="H15" s="13">
        <f t="shared" si="1"/>
        <v>-3.1319600000001628</v>
      </c>
      <c r="I15" s="14">
        <f t="shared" si="2"/>
        <v>3.1319600000001628</v>
      </c>
    </row>
    <row r="16" spans="1:12" x14ac:dyDescent="0.45">
      <c r="I16" s="19">
        <f>AVERAGE(I3:I15)</f>
        <v>4.6375046153846009</v>
      </c>
    </row>
    <row r="19" spans="1:10" x14ac:dyDescent="0.45">
      <c r="A19" s="10"/>
      <c r="E19" s="11"/>
      <c r="F19" s="15"/>
      <c r="G19" s="8"/>
      <c r="H19" s="8"/>
      <c r="I19" s="8"/>
      <c r="J19" s="8"/>
    </row>
    <row r="20" spans="1:10" x14ac:dyDescent="0.45">
      <c r="F20" s="8"/>
      <c r="G20" s="8"/>
      <c r="H20" s="8"/>
      <c r="I20" s="8"/>
      <c r="J20" s="8"/>
    </row>
    <row r="21" spans="1:10" x14ac:dyDescent="0.45">
      <c r="A21" s="10"/>
      <c r="E21" s="11"/>
      <c r="F21" s="15"/>
      <c r="G21" s="8"/>
      <c r="H21" s="8"/>
      <c r="I21" s="8"/>
      <c r="J21" s="8"/>
    </row>
  </sheetData>
  <mergeCells count="1"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2025-01-02T12:29:55Z</dcterms:modified>
</cp:coreProperties>
</file>