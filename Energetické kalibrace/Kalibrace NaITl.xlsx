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3" i="1"/>
  <c r="I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3" i="1"/>
  <c r="G18" i="1"/>
  <c r="H18" i="1" s="1"/>
  <c r="G6" i="1"/>
  <c r="H6" i="1" s="1"/>
  <c r="H3" i="1"/>
  <c r="G3" i="1"/>
  <c r="G14" i="1"/>
  <c r="H14" i="1" s="1"/>
  <c r="D18" i="1" l="1"/>
  <c r="G4" i="1"/>
  <c r="H4" i="1" s="1"/>
  <c r="G5" i="1"/>
  <c r="H5" i="1" s="1"/>
  <c r="G7" i="1"/>
  <c r="H7" i="1" s="1"/>
  <c r="G13" i="1"/>
  <c r="H13" i="1" s="1"/>
  <c r="G20" i="1"/>
  <c r="H20" i="1" s="1"/>
  <c r="D20" i="1"/>
  <c r="B22" i="1"/>
  <c r="D22" i="1" s="1"/>
  <c r="G22" i="1"/>
  <c r="G8" i="1"/>
  <c r="D9" i="1"/>
  <c r="D10" i="1"/>
  <c r="D11" i="1"/>
  <c r="D12" i="1"/>
  <c r="D15" i="1"/>
  <c r="D16" i="1"/>
  <c r="D17" i="1"/>
  <c r="D19" i="1"/>
  <c r="D21" i="1"/>
  <c r="D23" i="1"/>
  <c r="D8" i="1"/>
  <c r="H22" i="1" l="1"/>
  <c r="H8" i="1"/>
  <c r="G9" i="1"/>
  <c r="H9" i="1" s="1"/>
  <c r="G10" i="1"/>
  <c r="H10" i="1" s="1"/>
  <c r="G11" i="1"/>
  <c r="H11" i="1" s="1"/>
  <c r="G12" i="1"/>
  <c r="H12" i="1" s="1"/>
  <c r="G15" i="1"/>
  <c r="H15" i="1" s="1"/>
  <c r="G16" i="1"/>
  <c r="H16" i="1" s="1"/>
  <c r="G17" i="1"/>
  <c r="H17" i="1" s="1"/>
  <c r="G19" i="1"/>
  <c r="H19" i="1" s="1"/>
  <c r="G21" i="1"/>
  <c r="H21" i="1" s="1"/>
  <c r="G23" i="1"/>
  <c r="H23" i="1" s="1"/>
</calcChain>
</file>

<file path=xl/sharedStrings.xml><?xml version="1.0" encoding="utf-8"?>
<sst xmlns="http://schemas.openxmlformats.org/spreadsheetml/2006/main" count="68" uniqueCount="42">
  <si>
    <t>Energie</t>
  </si>
  <si>
    <t>Kanál</t>
  </si>
  <si>
    <t>Zdroj</t>
  </si>
  <si>
    <t>Na-22</t>
  </si>
  <si>
    <t>Co-60</t>
  </si>
  <si>
    <t>Cs-137</t>
  </si>
  <si>
    <t>Y-88 (MIX)</t>
  </si>
  <si>
    <t>K-40</t>
  </si>
  <si>
    <t>208-Tl</t>
  </si>
  <si>
    <t>RPT</t>
  </si>
  <si>
    <t>k922-2024</t>
  </si>
  <si>
    <t>k923-2024</t>
  </si>
  <si>
    <t>k924-2024</t>
  </si>
  <si>
    <t>k927-2024</t>
  </si>
  <si>
    <t>k933-2024</t>
  </si>
  <si>
    <t>Predikce</t>
  </si>
  <si>
    <t>k931-2024</t>
  </si>
  <si>
    <t>k934-2024</t>
  </si>
  <si>
    <t>FWHM</t>
  </si>
  <si>
    <t>Koeficienty en. Kalibrace</t>
  </si>
  <si>
    <t>Intercept</t>
  </si>
  <si>
    <t>Slope</t>
  </si>
  <si>
    <t>Val</t>
  </si>
  <si>
    <t>Err</t>
  </si>
  <si>
    <t>Rozdíl</t>
  </si>
  <si>
    <t>FWHM %</t>
  </si>
  <si>
    <t>Cs-134 (Mix)</t>
  </si>
  <si>
    <t>k947-2024</t>
  </si>
  <si>
    <t>Co-57 (Mix)</t>
  </si>
  <si>
    <t>CO-60 (SUM)</t>
  </si>
  <si>
    <t>Pb-214</t>
  </si>
  <si>
    <t>Bi-214</t>
  </si>
  <si>
    <t>Eu-152</t>
  </si>
  <si>
    <t>k948-2024</t>
  </si>
  <si>
    <t>Lienární</t>
  </si>
  <si>
    <t>Kvadratická</t>
  </si>
  <si>
    <t>Quadratic</t>
  </si>
  <si>
    <t>Linear</t>
  </si>
  <si>
    <t>Constant</t>
  </si>
  <si>
    <t>Lineární kalibrace</t>
  </si>
  <si>
    <t>Kvadratická kal.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</si>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</sst>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3" fillId="0" borderId="0" xfId="0" applyNumberFormat="1" applyFont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Energetická kalibrace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List1!$A$4:$A$23</c:f>
              <c:numCache>
                <c:formatCode>General</c:formatCode>
                <c:ptCount val="20"/>
                <c:pt idx="0">
                  <c:v>105</c:v>
                </c:pt>
                <c:pt idx="1">
                  <c:v>238</c:v>
                </c:pt>
                <c:pt idx="2">
                  <c:v>276</c:v>
                </c:pt>
                <c:pt idx="3">
                  <c:v>283</c:v>
                </c:pt>
                <c:pt idx="4">
                  <c:v>404</c:v>
                </c:pt>
                <c:pt idx="5">
                  <c:v>456</c:v>
                </c:pt>
                <c:pt idx="6">
                  <c:v>478</c:v>
                </c:pt>
                <c:pt idx="7">
                  <c:v>520</c:v>
                </c:pt>
                <c:pt idx="8">
                  <c:v>602</c:v>
                </c:pt>
                <c:pt idx="9">
                  <c:v>615</c:v>
                </c:pt>
                <c:pt idx="10">
                  <c:v>738</c:v>
                </c:pt>
                <c:pt idx="11">
                  <c:v>896</c:v>
                </c:pt>
                <c:pt idx="12">
                  <c:v>964</c:v>
                </c:pt>
                <c:pt idx="13">
                  <c:v>1012</c:v>
                </c:pt>
                <c:pt idx="14">
                  <c:v>1059</c:v>
                </c:pt>
                <c:pt idx="15">
                  <c:v>1090</c:v>
                </c:pt>
                <c:pt idx="16">
                  <c:v>1312</c:v>
                </c:pt>
                <c:pt idx="17">
                  <c:v>1362</c:v>
                </c:pt>
                <c:pt idx="18">
                  <c:v>1880</c:v>
                </c:pt>
                <c:pt idx="19">
                  <c:v>1905</c:v>
                </c:pt>
              </c:numCache>
            </c:numRef>
          </c:xVal>
          <c:yVal>
            <c:numRef>
              <c:f>List1!$B$4:$B$23</c:f>
              <c:numCache>
                <c:formatCode>General</c:formatCode>
                <c:ptCount val="20"/>
                <c:pt idx="0">
                  <c:v>122.06065</c:v>
                </c:pt>
                <c:pt idx="1">
                  <c:v>295.22399999999999</c:v>
                </c:pt>
                <c:pt idx="2">
                  <c:v>344.27850000000001</c:v>
                </c:pt>
                <c:pt idx="3">
                  <c:v>351.93200000000002</c:v>
                </c:pt>
                <c:pt idx="4">
                  <c:v>511</c:v>
                </c:pt>
                <c:pt idx="5">
                  <c:v>583.18700000000001</c:v>
                </c:pt>
                <c:pt idx="6">
                  <c:v>609.31200000000001</c:v>
                </c:pt>
                <c:pt idx="7">
                  <c:v>661.65530000000001</c:v>
                </c:pt>
                <c:pt idx="8">
                  <c:v>785.96</c:v>
                </c:pt>
                <c:pt idx="9">
                  <c:v>795.86</c:v>
                </c:pt>
                <c:pt idx="10">
                  <c:v>964.07899999999995</c:v>
                </c:pt>
                <c:pt idx="11">
                  <c:v>1173.2280000000001</c:v>
                </c:pt>
                <c:pt idx="12">
                  <c:v>1274.537</c:v>
                </c:pt>
                <c:pt idx="13">
                  <c:v>1332.492</c:v>
                </c:pt>
                <c:pt idx="14">
                  <c:v>1408.0129999999999</c:v>
                </c:pt>
                <c:pt idx="15">
                  <c:v>1460.8219999999999</c:v>
                </c:pt>
                <c:pt idx="16">
                  <c:v>1764.4939999999999</c:v>
                </c:pt>
                <c:pt idx="17">
                  <c:v>1836.07</c:v>
                </c:pt>
                <c:pt idx="18">
                  <c:v>2505.7200000000003</c:v>
                </c:pt>
                <c:pt idx="19">
                  <c:v>2614.511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F-42C2-87EF-621AC7C39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20256"/>
        <c:axId val="670120672"/>
      </c:scatterChart>
      <c:valAx>
        <c:axId val="67012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Kanál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0120672"/>
        <c:crosses val="autoZero"/>
        <c:crossBetween val="midCat"/>
      </c:valAx>
      <c:valAx>
        <c:axId val="6701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Energie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012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Rozdíl mezi skutečnou</a:t>
            </a:r>
            <a:r>
              <a:rPr lang="cs-CZ" baseline="0"/>
              <a:t> a vypočítanou energíi</a:t>
            </a:r>
            <a:endParaRPr lang="cs-C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Lineární</c:v>
          </c:tx>
          <c:spPr>
            <a:ln w="1905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List1!$B$4:$B$23</c:f>
              <c:numCache>
                <c:formatCode>General</c:formatCode>
                <c:ptCount val="20"/>
                <c:pt idx="0">
                  <c:v>122.06065</c:v>
                </c:pt>
                <c:pt idx="1">
                  <c:v>295.22399999999999</c:v>
                </c:pt>
                <c:pt idx="2">
                  <c:v>344.27850000000001</c:v>
                </c:pt>
                <c:pt idx="3">
                  <c:v>351.93200000000002</c:v>
                </c:pt>
                <c:pt idx="4">
                  <c:v>511</c:v>
                </c:pt>
                <c:pt idx="5">
                  <c:v>583.18700000000001</c:v>
                </c:pt>
                <c:pt idx="6">
                  <c:v>609.31200000000001</c:v>
                </c:pt>
                <c:pt idx="7">
                  <c:v>661.65530000000001</c:v>
                </c:pt>
                <c:pt idx="8">
                  <c:v>785.96</c:v>
                </c:pt>
                <c:pt idx="9">
                  <c:v>795.86</c:v>
                </c:pt>
                <c:pt idx="10">
                  <c:v>964.07899999999995</c:v>
                </c:pt>
                <c:pt idx="11">
                  <c:v>1173.2280000000001</c:v>
                </c:pt>
                <c:pt idx="12">
                  <c:v>1274.537</c:v>
                </c:pt>
                <c:pt idx="13">
                  <c:v>1332.492</c:v>
                </c:pt>
                <c:pt idx="14">
                  <c:v>1408.0129999999999</c:v>
                </c:pt>
                <c:pt idx="15">
                  <c:v>1460.8219999999999</c:v>
                </c:pt>
                <c:pt idx="16">
                  <c:v>1764.4939999999999</c:v>
                </c:pt>
                <c:pt idx="17">
                  <c:v>1836.07</c:v>
                </c:pt>
                <c:pt idx="18">
                  <c:v>2505.7200000000003</c:v>
                </c:pt>
                <c:pt idx="19">
                  <c:v>2614.511</c:v>
                </c:pt>
              </c:numCache>
            </c:numRef>
          </c:xVal>
          <c:yVal>
            <c:numRef>
              <c:f>List1!$H$4:$H$23</c:f>
              <c:numCache>
                <c:formatCode>General</c:formatCode>
                <c:ptCount val="20"/>
                <c:pt idx="0">
                  <c:v>16.244722179974147</c:v>
                </c:pt>
                <c:pt idx="1">
                  <c:v>7.3367656276350885</c:v>
                </c:pt>
                <c:pt idx="2">
                  <c:v>4.3708923269667821</c:v>
                </c:pt>
                <c:pt idx="3">
                  <c:v>2.4416919821068177</c:v>
                </c:pt>
                <c:pt idx="4">
                  <c:v>-4.1341282647580329</c:v>
                </c:pt>
                <c:pt idx="5">
                  <c:v>-3.1329022551462913</c:v>
                </c:pt>
                <c:pt idx="6">
                  <c:v>-7.1249604818489161</c:v>
                </c:pt>
                <c:pt idx="7">
                  <c:v>-12.277862551008639</c:v>
                </c:pt>
                <c:pt idx="8">
                  <c:v>-0.22765230508230161</c:v>
                </c:pt>
                <c:pt idx="9">
                  <c:v>-8.1240958026794488</c:v>
                </c:pt>
                <c:pt idx="10">
                  <c:v>-8.2868304337899872</c:v>
                </c:pt>
                <c:pt idx="11">
                  <c:v>-15.433066789200211</c:v>
                </c:pt>
                <c:pt idx="12">
                  <c:v>-7.2131558535538716</c:v>
                </c:pt>
                <c:pt idx="13">
                  <c:v>-14.968101075450704</c:v>
                </c:pt>
                <c:pt idx="14">
                  <c:v>-3.7880891052247989</c:v>
                </c:pt>
                <c:pt idx="15">
                  <c:v>6.583237938966704</c:v>
                </c:pt>
                <c:pt idx="16">
                  <c:v>6.346741287694158</c:v>
                </c:pt>
                <c:pt idx="17">
                  <c:v>9.4748816815515511</c:v>
                </c:pt>
                <c:pt idx="18">
                  <c:v>-29.994943838084509</c:v>
                </c:pt>
                <c:pt idx="19">
                  <c:v>44.572126358843889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E-4530-9E02-796FF2176E56}"/>
            </c:ext>
          </c:extLst>
        </c:ser>
        <c:ser>
          <c:idx val="1"/>
          <c:order val="1"/>
          <c:tx>
            <c:v>Kvadratická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List1!$B$3:$B$23</c:f>
              <c:numCache>
                <c:formatCode>General</c:formatCode>
                <c:ptCount val="21"/>
                <c:pt idx="0">
                  <c:v>121.7817</c:v>
                </c:pt>
                <c:pt idx="1">
                  <c:v>122.06065</c:v>
                </c:pt>
                <c:pt idx="2">
                  <c:v>295.22399999999999</c:v>
                </c:pt>
                <c:pt idx="3">
                  <c:v>344.27850000000001</c:v>
                </c:pt>
                <c:pt idx="4">
                  <c:v>351.93200000000002</c:v>
                </c:pt>
                <c:pt idx="5">
                  <c:v>511</c:v>
                </c:pt>
                <c:pt idx="6">
                  <c:v>583.18700000000001</c:v>
                </c:pt>
                <c:pt idx="7">
                  <c:v>609.31200000000001</c:v>
                </c:pt>
                <c:pt idx="8">
                  <c:v>661.65530000000001</c:v>
                </c:pt>
                <c:pt idx="9">
                  <c:v>785.96</c:v>
                </c:pt>
                <c:pt idx="10">
                  <c:v>795.86</c:v>
                </c:pt>
                <c:pt idx="11">
                  <c:v>964.07899999999995</c:v>
                </c:pt>
                <c:pt idx="12">
                  <c:v>1173.2280000000001</c:v>
                </c:pt>
                <c:pt idx="13">
                  <c:v>1274.537</c:v>
                </c:pt>
                <c:pt idx="14">
                  <c:v>1332.492</c:v>
                </c:pt>
                <c:pt idx="15">
                  <c:v>1408.0129999999999</c:v>
                </c:pt>
                <c:pt idx="16">
                  <c:v>1460.8219999999999</c:v>
                </c:pt>
                <c:pt idx="17">
                  <c:v>1764.4939999999999</c:v>
                </c:pt>
                <c:pt idx="18">
                  <c:v>1836.07</c:v>
                </c:pt>
                <c:pt idx="19">
                  <c:v>2505.7200000000003</c:v>
                </c:pt>
                <c:pt idx="20">
                  <c:v>2614.511</c:v>
                </c:pt>
              </c:numCache>
            </c:numRef>
          </c:xVal>
          <c:yVal>
            <c:numRef>
              <c:f>List1!$K$3:$K$23</c:f>
              <c:numCache>
                <c:formatCode>0.00</c:formatCode>
                <c:ptCount val="21"/>
                <c:pt idx="0">
                  <c:v>7.1140483724655041</c:v>
                </c:pt>
                <c:pt idx="1">
                  <c:v>6.0640445025119334</c:v>
                </c:pt>
                <c:pt idx="2">
                  <c:v>2.0611814868618694</c:v>
                </c:pt>
                <c:pt idx="3">
                  <c:v>0.34532518532751055</c:v>
                </c:pt>
                <c:pt idx="4">
                  <c:v>-1.360950061904191</c:v>
                </c:pt>
                <c:pt idx="5">
                  <c:v>-4.4443043412925363</c:v>
                </c:pt>
                <c:pt idx="6">
                  <c:v>-2.151838978719411</c:v>
                </c:pt>
                <c:pt idx="7">
                  <c:v>-5.6355447760776087</c:v>
                </c:pt>
                <c:pt idx="8">
                  <c:v>-9.8806006794810628</c:v>
                </c:pt>
                <c:pt idx="9">
                  <c:v>3.705102121614118</c:v>
                </c:pt>
                <c:pt idx="10">
                  <c:v>-3.9766917619145943</c:v>
                </c:pt>
                <c:pt idx="11">
                  <c:v>-2.4983630503379572</c:v>
                </c:pt>
                <c:pt idx="12">
                  <c:v>-8.5712786556182436</c:v>
                </c:pt>
                <c:pt idx="13">
                  <c:v>-0.24758914004701182</c:v>
                </c:pt>
                <c:pt idx="14">
                  <c:v>-8.0590431963230458</c:v>
                </c:pt>
                <c:pt idx="15">
                  <c:v>2.9615787279306005</c:v>
                </c:pt>
                <c:pt idx="16">
                  <c:v>13.171423781628846</c:v>
                </c:pt>
                <c:pt idx="17">
                  <c:v>10.46953827891798</c:v>
                </c:pt>
                <c:pt idx="18">
                  <c:v>12.72545787557624</c:v>
                </c:pt>
                <c:pt idx="19">
                  <c:v>-42.637574412838148</c:v>
                </c:pt>
                <c:pt idx="20">
                  <c:v>30.846078721759568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6-4871-A2A4-CF6735423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5616"/>
        <c:axId val="82717280"/>
      </c:scatterChart>
      <c:valAx>
        <c:axId val="827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Energie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717280"/>
        <c:crosses val="autoZero"/>
        <c:crossBetween val="midCat"/>
      </c:valAx>
      <c:valAx>
        <c:axId val="8271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Reziduum</a:t>
                </a:r>
              </a:p>
              <a:p>
                <a:pPr>
                  <a:defRPr/>
                </a:pPr>
                <a:endParaRPr lang="cs-CZ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71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25</xdr:row>
      <xdr:rowOff>107155</xdr:rowOff>
    </xdr:from>
    <xdr:to>
      <xdr:col>13</xdr:col>
      <xdr:colOff>342898</xdr:colOff>
      <xdr:row>40</xdr:row>
      <xdr:rowOff>135730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842962</xdr:colOff>
      <xdr:row>41</xdr:row>
      <xdr:rowOff>145257</xdr:rowOff>
    </xdr:from>
    <xdr:to>
      <xdr:col>13</xdr:col>
      <xdr:colOff>485775</xdr:colOff>
      <xdr:row>56</xdr:row>
      <xdr:rowOff>173832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P22" sqref="P22"/>
    </sheetView>
  </sheetViews>
  <sheetFormatPr defaultRowHeight="14.25"/>
  <cols>
    <col min="1" max="1" width="12.53125" customWidth="1"/>
    <col min="5" max="5" width="13" customWidth="1"/>
    <col min="6" max="6" width="11.3984375" customWidth="1"/>
  </cols>
  <sheetData>
    <row r="1" spans="1:20">
      <c r="G1" s="26" t="s">
        <v>39</v>
      </c>
      <c r="H1" s="27"/>
      <c r="I1" s="28"/>
      <c r="J1" s="26" t="s">
        <v>40</v>
      </c>
      <c r="K1" s="27"/>
      <c r="L1" s="28"/>
    </row>
    <row r="2" spans="1:20" s="2" customFormat="1">
      <c r="A2" s="2" t="s">
        <v>1</v>
      </c>
      <c r="B2" s="2" t="s">
        <v>0</v>
      </c>
      <c r="C2" s="2" t="s">
        <v>18</v>
      </c>
      <c r="D2" s="2" t="s">
        <v>25</v>
      </c>
      <c r="E2" s="2" t="s">
        <v>2</v>
      </c>
      <c r="F2" s="2" t="s">
        <v>9</v>
      </c>
      <c r="G2" s="10" t="s">
        <v>15</v>
      </c>
      <c r="H2" s="11" t="s">
        <v>24</v>
      </c>
      <c r="I2" s="12" t="s">
        <v>41</v>
      </c>
      <c r="J2" s="10" t="s">
        <v>15</v>
      </c>
      <c r="K2" s="11" t="s">
        <v>24</v>
      </c>
      <c r="L2" s="12" t="s">
        <v>41</v>
      </c>
    </row>
    <row r="3" spans="1:20" s="6" customFormat="1">
      <c r="A3" s="7">
        <v>104</v>
      </c>
      <c r="B3" s="7">
        <v>121.7817</v>
      </c>
      <c r="E3" s="6" t="s">
        <v>32</v>
      </c>
      <c r="F3" s="6" t="s">
        <v>33</v>
      </c>
      <c r="G3" s="13">
        <f t="shared" ref="G3:G23" si="0">A3*$O$9+$O$8</f>
        <v>104.446970627903</v>
      </c>
      <c r="H3" s="14">
        <f t="shared" ref="H3:H7" si="1">B3-G3</f>
        <v>17.334729372097001</v>
      </c>
      <c r="I3" s="15">
        <f>ABS(H3)</f>
        <v>17.334729372097001</v>
      </c>
      <c r="J3" s="19">
        <f>$S$10+$S$9*A3+$S$8*A3*A3</f>
        <v>114.6676516275345</v>
      </c>
      <c r="K3" s="20">
        <f>B3-J3</f>
        <v>7.1140483724655041</v>
      </c>
      <c r="L3" s="21">
        <f>ABS(K3)</f>
        <v>7.1140483724655041</v>
      </c>
    </row>
    <row r="4" spans="1:20" s="6" customFormat="1">
      <c r="A4" s="7">
        <v>105</v>
      </c>
      <c r="B4" s="7">
        <v>122.06065</v>
      </c>
      <c r="E4" s="6" t="s">
        <v>28</v>
      </c>
      <c r="F4" s="6" t="s">
        <v>11</v>
      </c>
      <c r="G4" s="13">
        <f t="shared" si="0"/>
        <v>105.81592782002585</v>
      </c>
      <c r="H4" s="14">
        <f t="shared" si="1"/>
        <v>16.244722179974147</v>
      </c>
      <c r="I4" s="15">
        <f t="shared" ref="I4:I23" si="2">ABS(H4)</f>
        <v>16.244722179974147</v>
      </c>
      <c r="J4" s="19">
        <f t="shared" ref="J4:J23" si="3">$S$10+$S$9*A4+$S$8*A4*A4</f>
        <v>115.99660549748806</v>
      </c>
      <c r="K4" s="20">
        <f t="shared" ref="K4:K23" si="4">B4-J4</f>
        <v>6.0640445025119334</v>
      </c>
      <c r="L4" s="21">
        <f t="shared" ref="L4:L23" si="5">ABS(K4)</f>
        <v>6.0640445025119334</v>
      </c>
      <c r="N4" s="25" t="s">
        <v>19</v>
      </c>
      <c r="O4" s="25"/>
      <c r="P4" s="25"/>
      <c r="Q4"/>
      <c r="R4"/>
      <c r="S4"/>
      <c r="T4"/>
    </row>
    <row r="5" spans="1:20" s="6" customFormat="1">
      <c r="A5" s="7">
        <v>238</v>
      </c>
      <c r="B5" s="7">
        <v>295.22399999999999</v>
      </c>
      <c r="E5" s="6" t="s">
        <v>30</v>
      </c>
      <c r="F5" s="6" t="s">
        <v>17</v>
      </c>
      <c r="G5" s="13">
        <f t="shared" si="0"/>
        <v>287.8872343723649</v>
      </c>
      <c r="H5" s="14">
        <f t="shared" si="1"/>
        <v>7.3367656276350885</v>
      </c>
      <c r="I5" s="15">
        <f t="shared" si="2"/>
        <v>7.3367656276350885</v>
      </c>
      <c r="J5" s="19">
        <f t="shared" si="3"/>
        <v>293.16281851313812</v>
      </c>
      <c r="K5" s="20">
        <f t="shared" si="4"/>
        <v>2.0611814868618694</v>
      </c>
      <c r="L5" s="21">
        <f t="shared" si="5"/>
        <v>2.0611814868618694</v>
      </c>
      <c r="N5" s="25" t="s">
        <v>34</v>
      </c>
      <c r="O5" s="25"/>
      <c r="P5" s="25"/>
      <c r="Q5"/>
      <c r="R5" s="25" t="s">
        <v>35</v>
      </c>
      <c r="S5" s="25"/>
      <c r="T5" s="25"/>
    </row>
    <row r="6" spans="1:20" s="6" customFormat="1">
      <c r="A6" s="7">
        <v>276</v>
      </c>
      <c r="B6" s="7">
        <v>344.27850000000001</v>
      </c>
      <c r="E6" s="6" t="s">
        <v>32</v>
      </c>
      <c r="F6" s="6" t="s">
        <v>33</v>
      </c>
      <c r="G6" s="13">
        <f t="shared" si="0"/>
        <v>339.90760767303323</v>
      </c>
      <c r="H6" s="14">
        <f t="shared" ref="H6" si="6">B6-G6</f>
        <v>4.3708923269667821</v>
      </c>
      <c r="I6" s="15">
        <f t="shared" si="2"/>
        <v>4.3708923269667821</v>
      </c>
      <c r="J6" s="19">
        <f t="shared" si="3"/>
        <v>343.9331748146725</v>
      </c>
      <c r="K6" s="20">
        <f t="shared" si="4"/>
        <v>0.34532518532751055</v>
      </c>
      <c r="L6" s="21">
        <f t="shared" si="5"/>
        <v>0.34532518532751055</v>
      </c>
      <c r="N6" s="1"/>
      <c r="O6" s="1"/>
      <c r="P6" s="1"/>
      <c r="Q6"/>
      <c r="R6"/>
      <c r="S6"/>
      <c r="T6"/>
    </row>
    <row r="7" spans="1:20" s="6" customFormat="1">
      <c r="A7" s="7">
        <v>283</v>
      </c>
      <c r="B7" s="7">
        <v>351.93200000000002</v>
      </c>
      <c r="E7" s="6" t="s">
        <v>30</v>
      </c>
      <c r="F7" s="6" t="s">
        <v>17</v>
      </c>
      <c r="G7" s="13">
        <f t="shared" si="0"/>
        <v>349.4903080178932</v>
      </c>
      <c r="H7" s="14">
        <f t="shared" si="1"/>
        <v>2.4416919821068177</v>
      </c>
      <c r="I7" s="15">
        <f t="shared" si="2"/>
        <v>2.4416919821068177</v>
      </c>
      <c r="J7" s="19">
        <f t="shared" si="3"/>
        <v>353.29295006190421</v>
      </c>
      <c r="K7" s="20">
        <f t="shared" si="4"/>
        <v>-1.360950061904191</v>
      </c>
      <c r="L7" s="21">
        <f t="shared" si="5"/>
        <v>1.360950061904191</v>
      </c>
      <c r="N7"/>
      <c r="O7" s="1" t="s">
        <v>22</v>
      </c>
      <c r="P7" s="1" t="s">
        <v>23</v>
      </c>
      <c r="Q7"/>
      <c r="R7"/>
      <c r="S7" s="3" t="s">
        <v>22</v>
      </c>
      <c r="T7" s="3" t="s">
        <v>23</v>
      </c>
    </row>
    <row r="8" spans="1:20">
      <c r="A8" s="8">
        <v>404</v>
      </c>
      <c r="B8">
        <v>511</v>
      </c>
      <c r="D8">
        <f>C8/0.01*B8</f>
        <v>0</v>
      </c>
      <c r="E8" s="1" t="s">
        <v>3</v>
      </c>
      <c r="F8" s="1" t="s">
        <v>10</v>
      </c>
      <c r="G8" s="13">
        <f t="shared" si="0"/>
        <v>515.13412826475803</v>
      </c>
      <c r="H8" s="14">
        <f t="shared" ref="H8:H14" si="7">B8-G8</f>
        <v>-4.1341282647580329</v>
      </c>
      <c r="I8" s="15">
        <f t="shared" si="2"/>
        <v>4.1341282647580329</v>
      </c>
      <c r="J8" s="19">
        <f t="shared" si="3"/>
        <v>515.44430434129254</v>
      </c>
      <c r="K8" s="20">
        <f t="shared" si="4"/>
        <v>-4.4443043412925363</v>
      </c>
      <c r="L8" s="21">
        <f t="shared" si="5"/>
        <v>4.4443043412925363</v>
      </c>
      <c r="N8" s="5" t="s">
        <v>20</v>
      </c>
      <c r="O8" s="4">
        <v>-37.924577352873399</v>
      </c>
      <c r="P8" s="4">
        <v>5.84700099818469</v>
      </c>
      <c r="R8" s="5" t="s">
        <v>36</v>
      </c>
      <c r="S8" s="9">
        <v>2.3305370431352199E-5</v>
      </c>
      <c r="T8" s="9">
        <v>1.07602047044268E-5</v>
      </c>
    </row>
    <row r="9" spans="1:20">
      <c r="A9" s="8">
        <v>456</v>
      </c>
      <c r="B9">
        <v>583.18700000000001</v>
      </c>
      <c r="D9">
        <f t="shared" ref="D9:D23" si="8">C9/0.01*B9</f>
        <v>0</v>
      </c>
      <c r="E9" s="1" t="s">
        <v>8</v>
      </c>
      <c r="F9" s="1" t="s">
        <v>16</v>
      </c>
      <c r="G9" s="13">
        <f t="shared" si="0"/>
        <v>586.3199022551463</v>
      </c>
      <c r="H9" s="14">
        <f t="shared" si="7"/>
        <v>-3.1329022551462913</v>
      </c>
      <c r="I9" s="15">
        <f t="shared" si="2"/>
        <v>3.1329022551462913</v>
      </c>
      <c r="J9" s="19">
        <f t="shared" si="3"/>
        <v>585.33883897871942</v>
      </c>
      <c r="K9" s="20">
        <f t="shared" si="4"/>
        <v>-2.151838978719411</v>
      </c>
      <c r="L9" s="21">
        <f t="shared" si="5"/>
        <v>2.151838978719411</v>
      </c>
      <c r="N9" s="5" t="s">
        <v>21</v>
      </c>
      <c r="O9" s="4">
        <v>1.3689571921228501</v>
      </c>
      <c r="P9" s="4">
        <v>6.2814271022541704E-3</v>
      </c>
      <c r="R9" s="5" t="s">
        <v>37</v>
      </c>
      <c r="S9" s="4">
        <v>1.3240830475334</v>
      </c>
      <c r="T9" s="4">
        <v>2.15818629576605E-2</v>
      </c>
    </row>
    <row r="10" spans="1:20">
      <c r="A10" s="8">
        <v>478</v>
      </c>
      <c r="B10">
        <v>609.31200000000001</v>
      </c>
      <c r="D10">
        <f t="shared" si="8"/>
        <v>0</v>
      </c>
      <c r="E10" s="1" t="s">
        <v>31</v>
      </c>
      <c r="F10" s="1" t="s">
        <v>17</v>
      </c>
      <c r="G10" s="13">
        <f t="shared" si="0"/>
        <v>616.43696048184893</v>
      </c>
      <c r="H10" s="14">
        <f t="shared" si="7"/>
        <v>-7.1249604818489161</v>
      </c>
      <c r="I10" s="15">
        <f t="shared" si="2"/>
        <v>7.1249604818489161</v>
      </c>
      <c r="J10" s="19">
        <f t="shared" si="3"/>
        <v>614.94754477607762</v>
      </c>
      <c r="K10" s="20">
        <f t="shared" si="4"/>
        <v>-5.6355447760776087</v>
      </c>
      <c r="L10" s="21">
        <f t="shared" si="5"/>
        <v>5.6355447760776087</v>
      </c>
      <c r="N10" s="5"/>
      <c r="O10" s="4"/>
      <c r="P10" s="4"/>
      <c r="R10" s="5" t="s">
        <v>38</v>
      </c>
      <c r="S10" s="4">
        <v>-23.289056202524598</v>
      </c>
      <c r="T10" s="4">
        <v>8.7920755032602198</v>
      </c>
    </row>
    <row r="11" spans="1:20">
      <c r="A11" s="8">
        <v>520</v>
      </c>
      <c r="B11">
        <v>661.65530000000001</v>
      </c>
      <c r="D11">
        <f t="shared" si="8"/>
        <v>0</v>
      </c>
      <c r="E11" s="1" t="s">
        <v>5</v>
      </c>
      <c r="F11" s="1" t="s">
        <v>13</v>
      </c>
      <c r="G11" s="13">
        <f t="shared" si="0"/>
        <v>673.93316255100865</v>
      </c>
      <c r="H11" s="14">
        <f t="shared" si="7"/>
        <v>-12.277862551008639</v>
      </c>
      <c r="I11" s="15">
        <f t="shared" si="2"/>
        <v>12.277862551008639</v>
      </c>
      <c r="J11" s="19">
        <f t="shared" si="3"/>
        <v>671.53590067948107</v>
      </c>
      <c r="K11" s="20">
        <f t="shared" si="4"/>
        <v>-9.8806006794810628</v>
      </c>
      <c r="L11" s="21">
        <f t="shared" si="5"/>
        <v>9.8806006794810628</v>
      </c>
    </row>
    <row r="12" spans="1:20">
      <c r="A12" s="8">
        <v>602</v>
      </c>
      <c r="B12">
        <v>785.96</v>
      </c>
      <c r="C12">
        <v>60.3</v>
      </c>
      <c r="D12">
        <f t="shared" si="8"/>
        <v>4739338.8</v>
      </c>
      <c r="E12" s="6" t="s">
        <v>30</v>
      </c>
      <c r="F12" s="1" t="s">
        <v>17</v>
      </c>
      <c r="G12" s="13">
        <f t="shared" si="0"/>
        <v>786.18765230508234</v>
      </c>
      <c r="H12" s="14">
        <f t="shared" si="7"/>
        <v>-0.22765230508230161</v>
      </c>
      <c r="I12" s="15">
        <f t="shared" si="2"/>
        <v>0.22765230508230161</v>
      </c>
      <c r="J12" s="19">
        <f t="shared" si="3"/>
        <v>782.25489787838592</v>
      </c>
      <c r="K12" s="20">
        <f t="shared" si="4"/>
        <v>3.705102121614118</v>
      </c>
      <c r="L12" s="21">
        <f t="shared" si="5"/>
        <v>3.705102121614118</v>
      </c>
    </row>
    <row r="13" spans="1:20">
      <c r="A13" s="8">
        <v>615</v>
      </c>
      <c r="B13">
        <v>795.86</v>
      </c>
      <c r="E13" s="1" t="s">
        <v>26</v>
      </c>
      <c r="F13" s="1" t="s">
        <v>27</v>
      </c>
      <c r="G13" s="13">
        <f t="shared" si="0"/>
        <v>803.98409580267946</v>
      </c>
      <c r="H13" s="14">
        <f t="shared" si="7"/>
        <v>-8.1240958026794488</v>
      </c>
      <c r="I13" s="15">
        <f t="shared" si="2"/>
        <v>8.1240958026794488</v>
      </c>
      <c r="J13" s="19">
        <f t="shared" si="3"/>
        <v>799.83669176191461</v>
      </c>
      <c r="K13" s="20">
        <f t="shared" si="4"/>
        <v>-3.9766917619145943</v>
      </c>
      <c r="L13" s="21">
        <f t="shared" si="5"/>
        <v>3.9766917619145943</v>
      </c>
    </row>
    <row r="14" spans="1:20">
      <c r="A14" s="8">
        <v>738</v>
      </c>
      <c r="B14">
        <v>964.07899999999995</v>
      </c>
      <c r="E14" s="6" t="s">
        <v>32</v>
      </c>
      <c r="F14" s="6" t="s">
        <v>33</v>
      </c>
      <c r="G14" s="13">
        <f t="shared" si="0"/>
        <v>972.36583043378994</v>
      </c>
      <c r="H14" s="14">
        <f t="shared" si="7"/>
        <v>-8.2868304337899872</v>
      </c>
      <c r="I14" s="15">
        <f t="shared" si="2"/>
        <v>8.2868304337899872</v>
      </c>
      <c r="J14" s="19">
        <f t="shared" si="3"/>
        <v>966.57736305033791</v>
      </c>
      <c r="K14" s="20">
        <f t="shared" si="4"/>
        <v>-2.4983630503379572</v>
      </c>
      <c r="L14" s="21">
        <f t="shared" si="5"/>
        <v>2.4983630503379572</v>
      </c>
    </row>
    <row r="15" spans="1:20">
      <c r="A15" s="8">
        <v>896</v>
      </c>
      <c r="B15">
        <v>1173.2280000000001</v>
      </c>
      <c r="D15">
        <f t="shared" si="8"/>
        <v>0</v>
      </c>
      <c r="E15" s="1" t="s">
        <v>4</v>
      </c>
      <c r="F15" s="1" t="s">
        <v>12</v>
      </c>
      <c r="G15" s="13">
        <f t="shared" si="0"/>
        <v>1188.6610667892003</v>
      </c>
      <c r="H15" s="14">
        <f t="shared" ref="H15:H23" si="9">B15-G15</f>
        <v>-15.433066789200211</v>
      </c>
      <c r="I15" s="15">
        <f t="shared" si="2"/>
        <v>15.433066789200211</v>
      </c>
      <c r="J15" s="19">
        <f t="shared" si="3"/>
        <v>1181.7992786556183</v>
      </c>
      <c r="K15" s="20">
        <f t="shared" si="4"/>
        <v>-8.5712786556182436</v>
      </c>
      <c r="L15" s="21">
        <f t="shared" si="5"/>
        <v>8.5712786556182436</v>
      </c>
    </row>
    <row r="16" spans="1:20">
      <c r="A16" s="8">
        <v>964</v>
      </c>
      <c r="B16">
        <v>1274.537</v>
      </c>
      <c r="D16">
        <f t="shared" si="8"/>
        <v>0</v>
      </c>
      <c r="E16" s="1" t="s">
        <v>3</v>
      </c>
      <c r="F16" s="1" t="s">
        <v>10</v>
      </c>
      <c r="G16" s="13">
        <f t="shared" si="0"/>
        <v>1281.7501558535539</v>
      </c>
      <c r="H16" s="14">
        <f t="shared" si="9"/>
        <v>-7.2131558535538716</v>
      </c>
      <c r="I16" s="15">
        <f t="shared" si="2"/>
        <v>7.2131558535538716</v>
      </c>
      <c r="J16" s="19">
        <f t="shared" si="3"/>
        <v>1274.784589140047</v>
      </c>
      <c r="K16" s="20">
        <f t="shared" si="4"/>
        <v>-0.24758914004701182</v>
      </c>
      <c r="L16" s="21">
        <f t="shared" si="5"/>
        <v>0.24758914004701182</v>
      </c>
    </row>
    <row r="17" spans="1:12">
      <c r="A17" s="8">
        <v>1012</v>
      </c>
      <c r="B17">
        <v>1332.492</v>
      </c>
      <c r="D17">
        <f t="shared" si="8"/>
        <v>0</v>
      </c>
      <c r="E17" s="1" t="s">
        <v>4</v>
      </c>
      <c r="F17" s="1" t="s">
        <v>12</v>
      </c>
      <c r="G17" s="13">
        <f t="shared" si="0"/>
        <v>1347.4601010754507</v>
      </c>
      <c r="H17" s="14">
        <f t="shared" si="9"/>
        <v>-14.968101075450704</v>
      </c>
      <c r="I17" s="15">
        <f t="shared" si="2"/>
        <v>14.968101075450704</v>
      </c>
      <c r="J17" s="19">
        <f t="shared" si="3"/>
        <v>1340.551043196323</v>
      </c>
      <c r="K17" s="20">
        <f t="shared" si="4"/>
        <v>-8.0590431963230458</v>
      </c>
      <c r="L17" s="21">
        <f t="shared" si="5"/>
        <v>8.0590431963230458</v>
      </c>
    </row>
    <row r="18" spans="1:12">
      <c r="A18" s="8">
        <v>1059</v>
      </c>
      <c r="B18">
        <v>1408.0129999999999</v>
      </c>
      <c r="D18">
        <f t="shared" si="8"/>
        <v>0</v>
      </c>
      <c r="E18" s="6" t="s">
        <v>32</v>
      </c>
      <c r="F18" s="6" t="s">
        <v>33</v>
      </c>
      <c r="G18" s="13">
        <f t="shared" si="0"/>
        <v>1411.8010891052247</v>
      </c>
      <c r="H18" s="14">
        <f t="shared" si="9"/>
        <v>-3.7880891052247989</v>
      </c>
      <c r="I18" s="15">
        <f t="shared" si="2"/>
        <v>3.7880891052247989</v>
      </c>
      <c r="J18" s="19">
        <f t="shared" si="3"/>
        <v>1405.0514212720693</v>
      </c>
      <c r="K18" s="20">
        <f t="shared" si="4"/>
        <v>2.9615787279306005</v>
      </c>
      <c r="L18" s="21">
        <f t="shared" si="5"/>
        <v>2.9615787279306005</v>
      </c>
    </row>
    <row r="19" spans="1:12">
      <c r="A19" s="8">
        <v>1090</v>
      </c>
      <c r="B19">
        <v>1460.8219999999999</v>
      </c>
      <c r="D19">
        <f t="shared" si="8"/>
        <v>0</v>
      </c>
      <c r="E19" s="1" t="s">
        <v>7</v>
      </c>
      <c r="F19" s="1" t="s">
        <v>14</v>
      </c>
      <c r="G19" s="13">
        <f t="shared" si="0"/>
        <v>1454.2387620610332</v>
      </c>
      <c r="H19" s="14">
        <f t="shared" si="9"/>
        <v>6.583237938966704</v>
      </c>
      <c r="I19" s="15">
        <f t="shared" si="2"/>
        <v>6.583237938966704</v>
      </c>
      <c r="J19" s="19">
        <f t="shared" si="3"/>
        <v>1447.650576218371</v>
      </c>
      <c r="K19" s="20">
        <f t="shared" si="4"/>
        <v>13.171423781628846</v>
      </c>
      <c r="L19" s="21">
        <f t="shared" si="5"/>
        <v>13.171423781628846</v>
      </c>
    </row>
    <row r="20" spans="1:12">
      <c r="A20" s="8">
        <v>1312</v>
      </c>
      <c r="B20">
        <v>1764.4939999999999</v>
      </c>
      <c r="D20">
        <f t="shared" si="8"/>
        <v>0</v>
      </c>
      <c r="E20" s="1" t="s">
        <v>31</v>
      </c>
      <c r="F20" s="1" t="s">
        <v>17</v>
      </c>
      <c r="G20" s="13">
        <f t="shared" si="0"/>
        <v>1758.1472587123058</v>
      </c>
      <c r="H20" s="14">
        <f t="shared" si="9"/>
        <v>6.346741287694158</v>
      </c>
      <c r="I20" s="15">
        <f t="shared" si="2"/>
        <v>6.346741287694158</v>
      </c>
      <c r="J20" s="19">
        <f t="shared" si="3"/>
        <v>1754.0244617210819</v>
      </c>
      <c r="K20" s="20">
        <f t="shared" si="4"/>
        <v>10.46953827891798</v>
      </c>
      <c r="L20" s="21">
        <f t="shared" si="5"/>
        <v>10.46953827891798</v>
      </c>
    </row>
    <row r="21" spans="1:12">
      <c r="A21" s="8">
        <v>1362</v>
      </c>
      <c r="B21">
        <v>1836.07</v>
      </c>
      <c r="D21">
        <f t="shared" si="8"/>
        <v>0</v>
      </c>
      <c r="E21" s="1" t="s">
        <v>6</v>
      </c>
      <c r="F21" s="1" t="s">
        <v>11</v>
      </c>
      <c r="G21" s="13">
        <f t="shared" si="0"/>
        <v>1826.5951183184484</v>
      </c>
      <c r="H21" s="14">
        <f t="shared" si="9"/>
        <v>9.4748816815515511</v>
      </c>
      <c r="I21" s="15">
        <f t="shared" si="2"/>
        <v>9.4748816815515511</v>
      </c>
      <c r="J21" s="19">
        <f t="shared" si="3"/>
        <v>1823.3445421244237</v>
      </c>
      <c r="K21" s="20">
        <f t="shared" si="4"/>
        <v>12.72545787557624</v>
      </c>
      <c r="L21" s="21">
        <f t="shared" si="5"/>
        <v>12.72545787557624</v>
      </c>
    </row>
    <row r="22" spans="1:12">
      <c r="A22" s="8">
        <v>1880</v>
      </c>
      <c r="B22">
        <f>B15+B17</f>
        <v>2505.7200000000003</v>
      </c>
      <c r="D22">
        <f t="shared" si="8"/>
        <v>0</v>
      </c>
      <c r="E22" s="1" t="s">
        <v>29</v>
      </c>
      <c r="F22" s="1" t="s">
        <v>12</v>
      </c>
      <c r="G22" s="13">
        <f t="shared" si="0"/>
        <v>2535.7149438380848</v>
      </c>
      <c r="H22" s="14">
        <f t="shared" si="9"/>
        <v>-29.994943838084509</v>
      </c>
      <c r="I22" s="15">
        <f t="shared" si="2"/>
        <v>29.994943838084509</v>
      </c>
      <c r="J22" s="19">
        <f t="shared" si="3"/>
        <v>2548.3575744128384</v>
      </c>
      <c r="K22" s="20">
        <f t="shared" si="4"/>
        <v>-42.637574412838148</v>
      </c>
      <c r="L22" s="21">
        <f t="shared" si="5"/>
        <v>42.637574412838148</v>
      </c>
    </row>
    <row r="23" spans="1:12" ht="14.65" thickBot="1">
      <c r="A23" s="8">
        <v>1905</v>
      </c>
      <c r="B23">
        <v>2614.511</v>
      </c>
      <c r="D23">
        <f t="shared" si="8"/>
        <v>0</v>
      </c>
      <c r="E23" s="1" t="s">
        <v>8</v>
      </c>
      <c r="F23" s="1" t="s">
        <v>16</v>
      </c>
      <c r="G23" s="16">
        <f t="shared" si="0"/>
        <v>2569.9388736411561</v>
      </c>
      <c r="H23" s="17">
        <f t="shared" si="9"/>
        <v>44.572126358843889</v>
      </c>
      <c r="I23" s="18">
        <f t="shared" si="2"/>
        <v>44.572126358843889</v>
      </c>
      <c r="J23" s="22">
        <f t="shared" si="3"/>
        <v>2583.6649212782404</v>
      </c>
      <c r="K23" s="23">
        <f t="shared" si="4"/>
        <v>30.846078721759568</v>
      </c>
      <c r="L23" s="24">
        <f t="shared" si="5"/>
        <v>30.846078721759568</v>
      </c>
    </row>
    <row r="24" spans="1:12">
      <c r="I24" s="5">
        <f>AVERAGE(I3:I23)</f>
        <v>10.924360833888754</v>
      </c>
      <c r="L24" s="2">
        <f>AVERAGE(L3:L23)</f>
        <v>8.5203599099594278</v>
      </c>
    </row>
  </sheetData>
  <sortState ref="A2:C10">
    <sortCondition ref="A2:A10"/>
  </sortState>
  <mergeCells count="5">
    <mergeCell ref="N4:P4"/>
    <mergeCell ref="N5:P5"/>
    <mergeCell ref="R5:T5"/>
    <mergeCell ref="G1:I1"/>
    <mergeCell ref="J1:L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2025-01-02T12:30:08Z</dcterms:modified>
</cp:coreProperties>
</file>